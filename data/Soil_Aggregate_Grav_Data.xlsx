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al Site (Mesa) Aggreg" sheetId="1" r:id="rId4"/>
    <sheet state="visible" name="Control Site (Live Coastal Sage" sheetId="2" r:id="rId5"/>
    <sheet state="visible" name="Gravimetric Soil Data" sheetId="3" r:id="rId6"/>
    <sheet state="visible" name="Bulk densities" sheetId="4" r:id="rId7"/>
  </sheets>
  <definedNames/>
  <calcPr/>
</workbook>
</file>

<file path=xl/sharedStrings.xml><?xml version="1.0" encoding="utf-8"?>
<sst xmlns="http://schemas.openxmlformats.org/spreadsheetml/2006/main" count="229" uniqueCount="72">
  <si>
    <t>Please date and label this table!</t>
  </si>
  <si>
    <t>Top</t>
  </si>
  <si>
    <t>Bottom</t>
  </si>
  <si>
    <t>Sample</t>
  </si>
  <si>
    <t>tin weight (g)</t>
  </si>
  <si>
    <t>wet weight (g)</t>
  </si>
  <si>
    <t>dry weight (2 days)</t>
  </si>
  <si>
    <t>dry weight (4 days)</t>
  </si>
  <si>
    <t>soil moisture</t>
  </si>
  <si>
    <t>%</t>
  </si>
  <si>
    <t>M_1_6</t>
  </si>
  <si>
    <t xml:space="preserve"> Mesa 6 Mean</t>
  </si>
  <si>
    <t>M_1_18</t>
  </si>
  <si>
    <t>Mesa 18 mean</t>
  </si>
  <si>
    <t>M_1_24</t>
  </si>
  <si>
    <t>Mesa 24 mean</t>
  </si>
  <si>
    <t>M_2_6</t>
  </si>
  <si>
    <t>M_1_30</t>
  </si>
  <si>
    <t xml:space="preserve">Mesa 30 </t>
  </si>
  <si>
    <t>M_2_18</t>
  </si>
  <si>
    <t>SP 6 in mean</t>
  </si>
  <si>
    <t>M_3_6</t>
  </si>
  <si>
    <t>SP 18 mean</t>
  </si>
  <si>
    <t>M_3_18</t>
  </si>
  <si>
    <t>M_2_24</t>
  </si>
  <si>
    <t>SP 24 mean</t>
  </si>
  <si>
    <t>M_4_6</t>
  </si>
  <si>
    <t>M_2_&gt;24</t>
  </si>
  <si>
    <t>M_4_18</t>
  </si>
  <si>
    <t>S_1_6</t>
  </si>
  <si>
    <t>M_5_6</t>
  </si>
  <si>
    <t>S_1_18</t>
  </si>
  <si>
    <t>M_5_18</t>
  </si>
  <si>
    <t>S_1_24</t>
  </si>
  <si>
    <t>M_6_6</t>
  </si>
  <si>
    <t>S_2_6</t>
  </si>
  <si>
    <t>M_6_18</t>
  </si>
  <si>
    <t>S_2_18</t>
  </si>
  <si>
    <t>S_2_24</t>
  </si>
  <si>
    <t>AVG CALCS</t>
  </si>
  <si>
    <t>6in</t>
  </si>
  <si>
    <t>18in</t>
  </si>
  <si>
    <t>M1</t>
  </si>
  <si>
    <t>M2</t>
  </si>
  <si>
    <t>M3</t>
  </si>
  <si>
    <t>M4</t>
  </si>
  <si>
    <t>M5</t>
  </si>
  <si>
    <t>M6</t>
  </si>
  <si>
    <t>eC (uS/cm)</t>
  </si>
  <si>
    <t>pH</t>
  </si>
  <si>
    <t>M_7_7</t>
  </si>
  <si>
    <t>M_7_18</t>
  </si>
  <si>
    <t>M_8_6</t>
  </si>
  <si>
    <t>M_8_18</t>
  </si>
  <si>
    <t>Soil Moisture Gravimetric %</t>
  </si>
  <si>
    <t>Site</t>
  </si>
  <si>
    <t>Depth</t>
  </si>
  <si>
    <t xml:space="preserve"> 6 in</t>
  </si>
  <si>
    <t>18 in</t>
  </si>
  <si>
    <t>M7</t>
  </si>
  <si>
    <t>M8</t>
  </si>
  <si>
    <t>Tin weights</t>
  </si>
  <si>
    <t>Big tin weights</t>
  </si>
  <si>
    <t>Total tin weights</t>
  </si>
  <si>
    <t>Soil Tin 1 weights</t>
  </si>
  <si>
    <t>Soil Tin 2 weights</t>
  </si>
  <si>
    <t>Soil Dish weights</t>
  </si>
  <si>
    <t>Total Wet Soil tin weights</t>
  </si>
  <si>
    <t xml:space="preserve">Dry Tin 1 Weight </t>
  </si>
  <si>
    <t>Dry Tin 2 Weight</t>
  </si>
  <si>
    <t>Dry Dish weights</t>
  </si>
  <si>
    <t>Total Dry weights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</si>
</sst>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/d/yy"/>
    <numFmt numFmtId="166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2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Data'!$H$2:$H$8</c:f>
            </c:strRef>
          </c:cat>
          <c:val>
            <c:numRef>
              <c:f>'Gravimetric Soil Data'!$I$2:$I$8</c:f>
              <c:numCache/>
            </c:numRef>
          </c:val>
        </c:ser>
        <c:axId val="1827051989"/>
        <c:axId val="1874718974"/>
      </c:barChart>
      <c:catAx>
        <c:axId val="1827051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718974"/>
      </c:catAx>
      <c:valAx>
        <c:axId val="1874718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051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Mesa Soil Water Content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6in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'Gravimetric Soil Data'!$Y$37:$Y$42</c:f>
            </c:strRef>
          </c:cat>
          <c:val>
            <c:numRef>
              <c:f>'Gravimetric Soil Data'!$Z$37:$Z$42</c:f>
              <c:numCache/>
            </c:numRef>
          </c:val>
        </c:ser>
        <c:ser>
          <c:idx val="1"/>
          <c:order val="1"/>
          <c:tx>
            <c:v>18in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'Gravimetric Soil Data'!$Y$37:$Y$42</c:f>
            </c:strRef>
          </c:cat>
          <c:val>
            <c:numRef>
              <c:f>'Gravimetric Soil Data'!$AA$37:$AA$42</c:f>
              <c:numCache/>
            </c:numRef>
          </c:val>
        </c:ser>
        <c:axId val="284529209"/>
        <c:axId val="1586314054"/>
      </c:barChart>
      <c:catAx>
        <c:axId val="284529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314054"/>
      </c:catAx>
      <c:valAx>
        <c:axId val="1586314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Gravimetric Soil Moisture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529209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'Gravimetric Soil Data'!$B$63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Data'!$A$64:$A$79</c:f>
            </c:strRef>
          </c:cat>
          <c:val>
            <c:numRef>
              <c:f>'Gravimetric Soil Data'!$B$64:$B$79</c:f>
              <c:numCache/>
            </c:numRef>
          </c:val>
        </c:ser>
        <c:ser>
          <c:idx val="1"/>
          <c:order val="1"/>
          <c:tx>
            <c:strRef>
              <c:f>'Gravimetric Soil Data'!$C$63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Data'!$A$64:$A$79</c:f>
            </c:strRef>
          </c:cat>
          <c:val>
            <c:numRef>
              <c:f>'Gravimetric Soil Data'!$C$64:$C$79</c:f>
              <c:numCache/>
            </c:numRef>
          </c:val>
        </c:ser>
        <c:ser>
          <c:idx val="2"/>
          <c:order val="2"/>
          <c:tx>
            <c:strRef>
              <c:f>'Gravimetric Soil Data'!$D$63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Data'!$A$64:$A$79</c:f>
            </c:strRef>
          </c:cat>
          <c:val>
            <c:numRef>
              <c:f>'Gravimetric Soil Data'!$D$64:$D$79</c:f>
              <c:numCache/>
            </c:numRef>
          </c:val>
        </c:ser>
        <c:ser>
          <c:idx val="3"/>
          <c:order val="3"/>
          <c:tx>
            <c:strRef>
              <c:f>'Gravimetric Soil Data'!$E$63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Data'!$A$64:$A$79</c:f>
            </c:strRef>
          </c:cat>
          <c:val>
            <c:numRef>
              <c:f>'Gravimetric Soil Data'!$E$64:$E$79</c:f>
              <c:numCache/>
            </c:numRef>
          </c:val>
        </c:ser>
        <c:ser>
          <c:idx val="4"/>
          <c:order val="4"/>
          <c:tx>
            <c:strRef>
              <c:f>'Gravimetric Soil Data'!$F$63</c:f>
            </c:strRef>
          </c:tx>
          <c:cat>
            <c:strRef>
              <c:f>'Gravimetric Soil Data'!$A$64:$A$79</c:f>
            </c:strRef>
          </c:cat>
          <c:val>
            <c:numRef>
              <c:f>'Gravimetric Soil Data'!$F$64:$F$79</c:f>
              <c:numCache/>
            </c:numRef>
          </c:val>
        </c:ser>
        <c:axId val="2133486034"/>
        <c:axId val="926048331"/>
      </c:barChart>
      <c:catAx>
        <c:axId val="21334860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048331"/>
      </c:catAx>
      <c:valAx>
        <c:axId val="9260483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4860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eC vs. Sample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'Gravimetric Soil Data'!$Q$44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Data'!$K$45:$K$60</c:f>
            </c:strRef>
          </c:cat>
          <c:val>
            <c:numRef>
              <c:f>'Gravimetric Soil Data'!$Q$45:$Q$60</c:f>
              <c:numCache/>
            </c:numRef>
          </c:val>
        </c:ser>
        <c:axId val="1423247029"/>
        <c:axId val="1478890013"/>
      </c:barChart>
      <c:catAx>
        <c:axId val="1423247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890013"/>
      </c:catAx>
      <c:valAx>
        <c:axId val="1478890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247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Salinity, eC uS/cm</a:t>
            </a:r>
          </a:p>
        </c:rich>
      </c:tx>
      <c:layout>
        <c:manualLayout>
          <c:xMode val="edge"/>
          <c:yMode val="edge"/>
          <c:x val="0.03526392961876833"/>
          <c:y val="0.05475059382422803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'Gravimetric Soil Data'!$B$83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Data'!$A$84:$A$99</c:f>
            </c:strRef>
          </c:cat>
          <c:val>
            <c:numRef>
              <c:f>'Gravimetric Soil Data'!$B$84:$B$99</c:f>
              <c:numCache/>
            </c:numRef>
          </c:val>
        </c:ser>
        <c:ser>
          <c:idx val="1"/>
          <c:order val="1"/>
          <c:tx>
            <c:strRef>
              <c:f>'Gravimetric Soil Data'!$C$83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'Gravimetric Soil Data'!$A$84:$A$99</c:f>
            </c:strRef>
          </c:cat>
          <c:val>
            <c:numRef>
              <c:f>'Gravimetric Soil Data'!$C$84:$C$99</c:f>
              <c:numCache/>
            </c:numRef>
          </c:val>
        </c:ser>
        <c:axId val="867867575"/>
        <c:axId val="1494621839"/>
      </c:barChart>
      <c:catAx>
        <c:axId val="8678675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621839"/>
      </c:catAx>
      <c:valAx>
        <c:axId val="14946218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8675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17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438150</xdr:colOff>
      <xdr:row>37</xdr:row>
      <xdr:rowOff>66675</xdr:rowOff>
    </xdr:from>
    <xdr:ext cx="6400800" cy="3962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390525</xdr:colOff>
      <xdr:row>89</xdr:row>
      <xdr:rowOff>190500</xdr:rowOff>
    </xdr:from>
    <xdr:ext cx="9124950" cy="5638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85725</xdr:colOff>
      <xdr:row>86</xdr:row>
      <xdr:rowOff>57150</xdr:rowOff>
    </xdr:from>
    <xdr:ext cx="6000750" cy="3714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99</xdr:row>
      <xdr:rowOff>190500</xdr:rowOff>
    </xdr:from>
    <xdr:ext cx="6496050" cy="4010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0.7</v>
      </c>
      <c r="C1" s="1">
        <v>0.92</v>
      </c>
    </row>
    <row r="2">
      <c r="A2" s="1">
        <v>2.0</v>
      </c>
      <c r="B2" s="1">
        <v>0.97</v>
      </c>
      <c r="C2" s="1">
        <v>0.8</v>
      </c>
    </row>
    <row r="3">
      <c r="A3" s="1">
        <v>3.0</v>
      </c>
      <c r="B3" s="1">
        <v>0.77</v>
      </c>
      <c r="C3" s="1">
        <v>0.84</v>
      </c>
    </row>
    <row r="4">
      <c r="A4" s="1">
        <v>4.0</v>
      </c>
      <c r="B4" s="1">
        <v>0.63</v>
      </c>
      <c r="C4" s="1">
        <v>0.35</v>
      </c>
    </row>
    <row r="5">
      <c r="A5" s="1">
        <v>5.0</v>
      </c>
      <c r="B5" s="1">
        <v>0.93</v>
      </c>
      <c r="C5" s="1">
        <v>0.41</v>
      </c>
    </row>
    <row r="6">
      <c r="A6" s="1">
        <v>6.0</v>
      </c>
      <c r="B6" s="1">
        <v>0.82</v>
      </c>
      <c r="C6" s="2">
        <v>0.92</v>
      </c>
    </row>
    <row r="7">
      <c r="A7" s="1">
        <v>7.0</v>
      </c>
      <c r="B7" s="1">
        <v>0.98</v>
      </c>
      <c r="C7" s="1">
        <v>0.28</v>
      </c>
    </row>
    <row r="8">
      <c r="A8" s="1">
        <v>8.0</v>
      </c>
      <c r="B8" s="1">
        <v>1.02</v>
      </c>
      <c r="C8" s="1">
        <v>0.87</v>
      </c>
    </row>
    <row r="9">
      <c r="A9" s="1">
        <v>9.0</v>
      </c>
      <c r="B9" s="1">
        <v>1.02</v>
      </c>
      <c r="C9" s="1">
        <v>0.53</v>
      </c>
    </row>
    <row r="10">
      <c r="A10" s="1">
        <v>10.0</v>
      </c>
      <c r="B10" s="1">
        <v>0.73</v>
      </c>
      <c r="C10" s="1">
        <v>0.6</v>
      </c>
    </row>
    <row r="11">
      <c r="B11" s="3">
        <f t="shared" ref="B11:C11" si="1">AVERAGE(B1:B10)</f>
        <v>0.857</v>
      </c>
      <c r="C11" s="3">
        <f t="shared" si="1"/>
        <v>0.652</v>
      </c>
    </row>
    <row r="13">
      <c r="A13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2</v>
      </c>
    </row>
    <row r="2">
      <c r="A2" s="1">
        <v>11.0</v>
      </c>
      <c r="B2" s="1">
        <v>0.85</v>
      </c>
      <c r="C2" s="1">
        <v>0.55</v>
      </c>
    </row>
    <row r="3">
      <c r="A3" s="1">
        <v>12.0</v>
      </c>
      <c r="B3" s="1">
        <v>0.93</v>
      </c>
      <c r="C3" s="1">
        <v>0.4</v>
      </c>
    </row>
    <row r="4">
      <c r="A4" s="1">
        <v>13.0</v>
      </c>
      <c r="B4" s="1">
        <v>0.79</v>
      </c>
      <c r="C4" s="1">
        <v>0.49</v>
      </c>
    </row>
    <row r="5">
      <c r="B5" s="3">
        <f>AVERAGE(B2:B4)</f>
        <v>0.8566666667</v>
      </c>
      <c r="C5" s="3">
        <f>AVERAge(C2:C4)</f>
        <v>0.48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7.38"/>
    <col customWidth="1" min="5" max="5" width="16.88"/>
    <col customWidth="1" min="14" max="14" width="16.0"/>
  </cols>
  <sheetData>
    <row r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1" t="s">
        <v>8</v>
      </c>
      <c r="G1" s="1" t="s">
        <v>9</v>
      </c>
      <c r="H1" s="5">
        <v>45716.0</v>
      </c>
      <c r="K1" s="4" t="s">
        <v>3</v>
      </c>
      <c r="L1" s="4" t="s">
        <v>4</v>
      </c>
      <c r="M1" s="4" t="s">
        <v>5</v>
      </c>
      <c r="N1" s="4" t="s">
        <v>7</v>
      </c>
      <c r="O1" s="1" t="s">
        <v>8</v>
      </c>
      <c r="P1" s="1" t="s">
        <v>9</v>
      </c>
      <c r="Q1" s="5">
        <v>45754.0</v>
      </c>
      <c r="Z1" s="5">
        <v>45770.0</v>
      </c>
      <c r="AA1" s="5">
        <v>45770.0</v>
      </c>
      <c r="AB1" s="6">
        <v>45784.0</v>
      </c>
    </row>
    <row r="2">
      <c r="A2" s="4" t="s">
        <v>10</v>
      </c>
      <c r="B2" s="7">
        <v>4.131</v>
      </c>
      <c r="C2" s="7">
        <v>84.673</v>
      </c>
      <c r="D2" s="7">
        <v>69.885</v>
      </c>
      <c r="E2" s="7">
        <v>69.855</v>
      </c>
      <c r="F2" s="3">
        <f t="shared" ref="F2:F15" si="1">((C2-B2)-(E2-B2))/(E2-B2)</f>
        <v>0.2254579758</v>
      </c>
      <c r="G2" s="3">
        <f t="shared" ref="G2:G15" si="2">100*F2</f>
        <v>22.54579758</v>
      </c>
      <c r="H2" s="1" t="s">
        <v>11</v>
      </c>
      <c r="I2" s="3">
        <f t="shared" ref="I2:I4" si="3">sum(G2,G6)/2</f>
        <v>22.18112017</v>
      </c>
      <c r="K2" s="4" t="s">
        <v>10</v>
      </c>
      <c r="L2" s="1">
        <v>4.149</v>
      </c>
      <c r="M2" s="1">
        <v>117.915</v>
      </c>
      <c r="N2" s="1">
        <v>99.919</v>
      </c>
      <c r="O2" s="3">
        <f t="shared" ref="O2:O13" si="4">((M2-L2)-(N2-L2))/(N2-L2)</f>
        <v>0.1879085309</v>
      </c>
      <c r="P2" s="3">
        <f t="shared" ref="P2:P13" si="5">O2*100</f>
        <v>18.79085309</v>
      </c>
      <c r="Y2" s="4" t="s">
        <v>10</v>
      </c>
      <c r="Z2" s="3">
        <v>18.790853085517394</v>
      </c>
      <c r="AA2" s="3">
        <v>16.421592081060687</v>
      </c>
      <c r="AB2" s="3">
        <v>13.476847815009</v>
      </c>
    </row>
    <row r="3">
      <c r="A3" s="4" t="s">
        <v>12</v>
      </c>
      <c r="B3" s="7">
        <v>3.735</v>
      </c>
      <c r="C3" s="7">
        <v>92.086</v>
      </c>
      <c r="D3" s="7">
        <v>74.572</v>
      </c>
      <c r="E3" s="7">
        <v>74.476</v>
      </c>
      <c r="F3" s="3">
        <f t="shared" si="1"/>
        <v>0.2489362604</v>
      </c>
      <c r="G3" s="3">
        <f t="shared" si="2"/>
        <v>24.89362604</v>
      </c>
      <c r="H3" s="1" t="s">
        <v>13</v>
      </c>
      <c r="I3" s="3">
        <f t="shared" si="3"/>
        <v>24.23716787</v>
      </c>
      <c r="K3" s="4" t="s">
        <v>12</v>
      </c>
      <c r="L3" s="1">
        <v>3.715</v>
      </c>
      <c r="M3" s="1">
        <v>104.643</v>
      </c>
      <c r="N3" s="1">
        <v>92.881</v>
      </c>
      <c r="O3" s="3">
        <f t="shared" si="4"/>
        <v>0.1319112666</v>
      </c>
      <c r="P3" s="3">
        <f t="shared" si="5"/>
        <v>13.19112666</v>
      </c>
      <c r="Y3" s="4" t="s">
        <v>12</v>
      </c>
      <c r="Z3" s="3">
        <v>13.191126662629255</v>
      </c>
      <c r="AA3" s="3">
        <v>18.021687991278903</v>
      </c>
      <c r="AB3" s="3">
        <v>14.286060273353298</v>
      </c>
    </row>
    <row r="4">
      <c r="A4" s="4" t="s">
        <v>14</v>
      </c>
      <c r="B4" s="7">
        <v>3.586</v>
      </c>
      <c r="C4" s="7">
        <v>98.636</v>
      </c>
      <c r="D4" s="7">
        <v>83.25</v>
      </c>
      <c r="E4" s="7">
        <v>83.205</v>
      </c>
      <c r="F4" s="3">
        <f t="shared" si="1"/>
        <v>0.1938105226</v>
      </c>
      <c r="G4" s="3">
        <f t="shared" si="2"/>
        <v>19.38105226</v>
      </c>
      <c r="H4" s="1" t="s">
        <v>15</v>
      </c>
      <c r="I4" s="3">
        <f t="shared" si="3"/>
        <v>22.008352</v>
      </c>
      <c r="K4" s="8" t="s">
        <v>16</v>
      </c>
      <c r="L4" s="1">
        <v>3.762</v>
      </c>
      <c r="M4" s="1">
        <v>109.69</v>
      </c>
      <c r="N4" s="1">
        <v>91.184</v>
      </c>
      <c r="O4" s="3">
        <f t="shared" si="4"/>
        <v>0.2116858457</v>
      </c>
      <c r="P4" s="3">
        <f t="shared" si="5"/>
        <v>21.16858457</v>
      </c>
      <c r="Y4" s="8" t="s">
        <v>16</v>
      </c>
      <c r="Z4" s="3">
        <v>21.16858456681385</v>
      </c>
      <c r="AA4" s="3">
        <v>13.389377818643542</v>
      </c>
      <c r="AB4" s="3">
        <v>9.946691752900586</v>
      </c>
    </row>
    <row r="5">
      <c r="A5" s="4" t="s">
        <v>17</v>
      </c>
      <c r="B5" s="7">
        <v>4.154</v>
      </c>
      <c r="C5" s="7">
        <v>147.807</v>
      </c>
      <c r="D5" s="7">
        <v>123.281</v>
      </c>
      <c r="E5" s="7">
        <v>123.211</v>
      </c>
      <c r="F5" s="3">
        <f t="shared" si="1"/>
        <v>0.2065901207</v>
      </c>
      <c r="G5" s="3">
        <f t="shared" si="2"/>
        <v>20.65901207</v>
      </c>
      <c r="H5" s="1" t="s">
        <v>18</v>
      </c>
      <c r="I5" s="3">
        <f>G5</f>
        <v>20.65901207</v>
      </c>
      <c r="K5" s="8" t="s">
        <v>19</v>
      </c>
      <c r="L5" s="1">
        <v>3.98</v>
      </c>
      <c r="M5" s="1">
        <v>175.086</v>
      </c>
      <c r="N5" s="1">
        <v>142.93</v>
      </c>
      <c r="O5" s="3">
        <f t="shared" si="4"/>
        <v>0.2314213746</v>
      </c>
      <c r="P5" s="3">
        <f t="shared" si="5"/>
        <v>23.14213746</v>
      </c>
      <c r="Y5" s="8" t="s">
        <v>19</v>
      </c>
      <c r="Z5" s="3">
        <v>23.142137459517816</v>
      </c>
      <c r="AA5" s="3">
        <v>18.86382793941098</v>
      </c>
      <c r="AB5" s="3">
        <v>12.436928781628922</v>
      </c>
    </row>
    <row r="6">
      <c r="A6" s="4" t="s">
        <v>16</v>
      </c>
      <c r="B6" s="7">
        <v>3.787</v>
      </c>
      <c r="C6" s="7">
        <v>87.844</v>
      </c>
      <c r="D6" s="7">
        <v>72.847</v>
      </c>
      <c r="E6" s="7">
        <v>72.79</v>
      </c>
      <c r="F6" s="3">
        <f t="shared" si="1"/>
        <v>0.2181644276</v>
      </c>
      <c r="G6" s="3">
        <f t="shared" si="2"/>
        <v>21.81644276</v>
      </c>
      <c r="H6" s="1" t="s">
        <v>20</v>
      </c>
      <c r="I6" s="3">
        <f t="shared" ref="I6:I8" si="6">sum(G10,G13)/2</f>
        <v>16.05033105</v>
      </c>
      <c r="K6" s="8" t="s">
        <v>21</v>
      </c>
      <c r="L6" s="1">
        <v>4.118</v>
      </c>
      <c r="M6" s="1">
        <v>164.995</v>
      </c>
      <c r="N6" s="1">
        <v>133.953</v>
      </c>
      <c r="O6" s="3">
        <f t="shared" si="4"/>
        <v>0.2390880733</v>
      </c>
      <c r="P6" s="3">
        <f t="shared" si="5"/>
        <v>23.90880733</v>
      </c>
      <c r="Y6" s="8" t="s">
        <v>21</v>
      </c>
      <c r="Z6" s="3">
        <v>23.908807332383407</v>
      </c>
      <c r="AA6" s="3">
        <v>20.97330670056291</v>
      </c>
      <c r="AB6" s="3">
        <v>19.36551420744266</v>
      </c>
    </row>
    <row r="7">
      <c r="A7" s="4" t="s">
        <v>19</v>
      </c>
      <c r="B7" s="7">
        <v>3.997</v>
      </c>
      <c r="C7" s="7">
        <v>67.625</v>
      </c>
      <c r="D7" s="7">
        <v>55.525</v>
      </c>
      <c r="E7" s="7">
        <v>55.484</v>
      </c>
      <c r="F7" s="3">
        <f t="shared" si="1"/>
        <v>0.2358070969</v>
      </c>
      <c r="G7" s="3">
        <f t="shared" si="2"/>
        <v>23.58070969</v>
      </c>
      <c r="H7" s="1" t="s">
        <v>22</v>
      </c>
      <c r="I7" s="3">
        <f t="shared" si="6"/>
        <v>10.25917935</v>
      </c>
      <c r="K7" s="8" t="s">
        <v>23</v>
      </c>
      <c r="L7" s="1">
        <v>4.023</v>
      </c>
      <c r="M7" s="1">
        <v>155.258</v>
      </c>
      <c r="N7" s="1">
        <v>120.714</v>
      </c>
      <c r="O7" s="3">
        <f t="shared" si="4"/>
        <v>0.2960296852</v>
      </c>
      <c r="P7" s="3">
        <f t="shared" si="5"/>
        <v>29.60296852</v>
      </c>
      <c r="Y7" s="8" t="s">
        <v>23</v>
      </c>
      <c r="Z7" s="3">
        <v>29.602968523707922</v>
      </c>
      <c r="AA7" s="3">
        <v>24.92193652999769</v>
      </c>
      <c r="AB7" s="3">
        <v>31.495909036217068</v>
      </c>
    </row>
    <row r="8">
      <c r="A8" s="4" t="s">
        <v>24</v>
      </c>
      <c r="B8" s="7">
        <v>3.717</v>
      </c>
      <c r="C8" s="7">
        <v>95.394</v>
      </c>
      <c r="D8" s="7">
        <v>77.338</v>
      </c>
      <c r="E8" s="7">
        <v>77.273</v>
      </c>
      <c r="F8" s="3">
        <f t="shared" si="1"/>
        <v>0.2463565175</v>
      </c>
      <c r="G8" s="3">
        <f t="shared" si="2"/>
        <v>24.63565175</v>
      </c>
      <c r="H8" s="1" t="s">
        <v>25</v>
      </c>
      <c r="I8" s="3">
        <f t="shared" si="6"/>
        <v>9.307850894</v>
      </c>
      <c r="K8" s="8" t="s">
        <v>26</v>
      </c>
      <c r="L8" s="1">
        <v>3.565</v>
      </c>
      <c r="M8" s="1">
        <v>139.768</v>
      </c>
      <c r="N8" s="1">
        <v>116.259</v>
      </c>
      <c r="O8" s="3">
        <f t="shared" si="4"/>
        <v>0.208609154</v>
      </c>
      <c r="P8" s="3">
        <f t="shared" si="5"/>
        <v>20.8609154</v>
      </c>
      <c r="Y8" s="8" t="s">
        <v>26</v>
      </c>
      <c r="Z8" s="3">
        <v>20.860915399222673</v>
      </c>
      <c r="AA8" s="3">
        <v>26.02977479337103</v>
      </c>
      <c r="AB8" s="3">
        <v>17.95237193974683</v>
      </c>
    </row>
    <row r="9">
      <c r="A9" s="4" t="s">
        <v>27</v>
      </c>
      <c r="B9" s="7">
        <v>3.719</v>
      </c>
      <c r="C9" s="7">
        <v>76.49</v>
      </c>
      <c r="D9" s="7">
        <v>64.133</v>
      </c>
      <c r="E9" s="7">
        <v>64.106</v>
      </c>
      <c r="F9" s="3">
        <f t="shared" si="1"/>
        <v>0.2050772517</v>
      </c>
      <c r="G9" s="3">
        <f t="shared" si="2"/>
        <v>20.50772517</v>
      </c>
      <c r="K9" s="8" t="s">
        <v>28</v>
      </c>
      <c r="L9" s="1">
        <v>3.686</v>
      </c>
      <c r="M9" s="1">
        <v>155.039</v>
      </c>
      <c r="N9" s="1">
        <v>130.023</v>
      </c>
      <c r="O9" s="3">
        <f t="shared" si="4"/>
        <v>0.1980100841</v>
      </c>
      <c r="P9" s="3">
        <f t="shared" si="5"/>
        <v>19.80100841</v>
      </c>
      <c r="Y9" s="8" t="s">
        <v>28</v>
      </c>
      <c r="Z9" s="3">
        <v>19.80100841400381</v>
      </c>
      <c r="AA9" s="3">
        <v>21.40261600225491</v>
      </c>
      <c r="AB9" s="3">
        <v>15.06923846464364</v>
      </c>
    </row>
    <row r="10">
      <c r="A10" s="4" t="s">
        <v>29</v>
      </c>
      <c r="B10" s="7">
        <v>3.728</v>
      </c>
      <c r="C10" s="7">
        <v>70.11</v>
      </c>
      <c r="D10" s="7">
        <v>61.247</v>
      </c>
      <c r="E10" s="7">
        <v>61.21</v>
      </c>
      <c r="F10" s="3">
        <f t="shared" si="1"/>
        <v>0.1548310776</v>
      </c>
      <c r="G10" s="3">
        <f t="shared" si="2"/>
        <v>15.48310776</v>
      </c>
      <c r="K10" s="8" t="s">
        <v>30</v>
      </c>
      <c r="L10" s="1">
        <v>3.85</v>
      </c>
      <c r="M10" s="1">
        <v>108.013</v>
      </c>
      <c r="N10" s="1">
        <v>92.492</v>
      </c>
      <c r="O10" s="3">
        <f t="shared" si="4"/>
        <v>0.1750975835</v>
      </c>
      <c r="P10" s="3">
        <f t="shared" si="5"/>
        <v>17.50975835</v>
      </c>
      <c r="Y10" s="8" t="s">
        <v>30</v>
      </c>
      <c r="Z10" s="3">
        <v>17.509758353827756</v>
      </c>
      <c r="AA10" s="3">
        <v>20.357814430774184</v>
      </c>
      <c r="AB10" s="3">
        <v>14.077163712200221</v>
      </c>
    </row>
    <row r="11">
      <c r="A11" s="4" t="s">
        <v>31</v>
      </c>
      <c r="B11" s="7">
        <v>3.881</v>
      </c>
      <c r="C11" s="7">
        <v>72.989</v>
      </c>
      <c r="D11" s="7">
        <v>64.834</v>
      </c>
      <c r="E11" s="7">
        <v>64.799</v>
      </c>
      <c r="F11" s="3">
        <f t="shared" si="1"/>
        <v>0.1344430218</v>
      </c>
      <c r="G11" s="3">
        <f t="shared" si="2"/>
        <v>13.44430218</v>
      </c>
      <c r="K11" s="8" t="s">
        <v>32</v>
      </c>
      <c r="L11" s="1">
        <v>3.848</v>
      </c>
      <c r="M11" s="1">
        <v>154.22</v>
      </c>
      <c r="N11" s="1">
        <v>126.644</v>
      </c>
      <c r="O11" s="3">
        <f t="shared" si="4"/>
        <v>0.2245675755</v>
      </c>
      <c r="P11" s="3">
        <f t="shared" si="5"/>
        <v>22.45675755</v>
      </c>
      <c r="Y11" s="8" t="s">
        <v>32</v>
      </c>
      <c r="Z11" s="3">
        <v>22.456757549105816</v>
      </c>
      <c r="AA11" s="3">
        <v>23.82803141221882</v>
      </c>
      <c r="AB11" s="3">
        <v>22.758151630326058</v>
      </c>
    </row>
    <row r="12">
      <c r="A12" s="4" t="s">
        <v>33</v>
      </c>
      <c r="B12" s="7">
        <v>3.888</v>
      </c>
      <c r="C12" s="7">
        <v>62.985</v>
      </c>
      <c r="D12" s="7">
        <v>57.209</v>
      </c>
      <c r="E12" s="7">
        <v>57.196</v>
      </c>
      <c r="F12" s="3">
        <f t="shared" si="1"/>
        <v>0.1085953328</v>
      </c>
      <c r="G12" s="3">
        <f t="shared" si="2"/>
        <v>10.85953328</v>
      </c>
      <c r="K12" s="8" t="s">
        <v>34</v>
      </c>
      <c r="L12" s="1">
        <v>3.86</v>
      </c>
      <c r="M12" s="1">
        <v>154.406</v>
      </c>
      <c r="N12" s="1">
        <v>131.155</v>
      </c>
      <c r="O12" s="3">
        <f t="shared" si="4"/>
        <v>0.182654464</v>
      </c>
      <c r="P12" s="3">
        <f t="shared" si="5"/>
        <v>18.2654464</v>
      </c>
      <c r="Y12" s="8" t="s">
        <v>34</v>
      </c>
      <c r="Z12" s="3">
        <v>18.265446404022146</v>
      </c>
      <c r="AA12" s="3">
        <v>10.893490020518568</v>
      </c>
      <c r="AB12" s="3">
        <v>16.636698429792602</v>
      </c>
    </row>
    <row r="13">
      <c r="A13" s="4" t="s">
        <v>35</v>
      </c>
      <c r="B13" s="7">
        <v>3.873</v>
      </c>
      <c r="C13" s="7">
        <v>83.419</v>
      </c>
      <c r="D13" s="7">
        <v>72.137</v>
      </c>
      <c r="E13" s="7">
        <v>72.084</v>
      </c>
      <c r="F13" s="3">
        <f t="shared" si="1"/>
        <v>0.1661755435</v>
      </c>
      <c r="G13" s="3">
        <f t="shared" si="2"/>
        <v>16.61755435</v>
      </c>
      <c r="K13" s="8" t="s">
        <v>36</v>
      </c>
      <c r="L13" s="1">
        <v>3.864</v>
      </c>
      <c r="M13" s="1">
        <v>174.006</v>
      </c>
      <c r="N13" s="1">
        <v>141.867</v>
      </c>
      <c r="O13" s="3">
        <f t="shared" si="4"/>
        <v>0.2328862416</v>
      </c>
      <c r="P13" s="3">
        <f t="shared" si="5"/>
        <v>23.28862416</v>
      </c>
      <c r="Y13" s="8" t="s">
        <v>36</v>
      </c>
      <c r="Z13" s="3">
        <v>23.28862416034435</v>
      </c>
      <c r="AA13" s="3">
        <v>21.612806101967077</v>
      </c>
      <c r="AB13" s="3">
        <v>23.8587845444697</v>
      </c>
    </row>
    <row r="14">
      <c r="A14" s="4" t="s">
        <v>37</v>
      </c>
      <c r="B14" s="7">
        <v>4.048</v>
      </c>
      <c r="C14" s="7">
        <v>85.42</v>
      </c>
      <c r="D14" s="7">
        <v>80.057</v>
      </c>
      <c r="E14" s="7">
        <v>80.044</v>
      </c>
      <c r="F14" s="3">
        <f t="shared" si="1"/>
        <v>0.07074056529</v>
      </c>
      <c r="G14" s="3">
        <f t="shared" si="2"/>
        <v>7.074056529</v>
      </c>
      <c r="K14" s="4"/>
    </row>
    <row r="15">
      <c r="A15" s="4" t="s">
        <v>38</v>
      </c>
      <c r="B15" s="7">
        <v>3.691</v>
      </c>
      <c r="C15" s="7">
        <v>87.41</v>
      </c>
      <c r="D15" s="7">
        <v>81.407</v>
      </c>
      <c r="E15" s="7">
        <v>81.384</v>
      </c>
      <c r="F15" s="3">
        <f t="shared" si="1"/>
        <v>0.07756168509</v>
      </c>
      <c r="G15" s="3">
        <f t="shared" si="2"/>
        <v>7.756168509</v>
      </c>
      <c r="K15" s="4" t="s">
        <v>3</v>
      </c>
      <c r="L15" s="4" t="s">
        <v>4</v>
      </c>
      <c r="M15" s="4" t="s">
        <v>5</v>
      </c>
      <c r="N15" s="4" t="s">
        <v>7</v>
      </c>
      <c r="O15" s="1" t="s">
        <v>8</v>
      </c>
      <c r="P15" s="1" t="s">
        <v>9</v>
      </c>
      <c r="Q15" s="5">
        <v>45770.0</v>
      </c>
    </row>
    <row r="16">
      <c r="K16" s="4" t="s">
        <v>10</v>
      </c>
      <c r="L16" s="1">
        <v>4.145</v>
      </c>
      <c r="M16" s="1">
        <v>113.643</v>
      </c>
      <c r="N16" s="1">
        <v>98.198</v>
      </c>
      <c r="O16" s="3">
        <f t="shared" ref="O16:O27" si="7">((M16-L16)-(N16-L16))/(N16-L16)</f>
        <v>0.1642159208</v>
      </c>
      <c r="P16" s="3">
        <f t="shared" ref="P16:P27" si="8">O16*100</f>
        <v>16.42159208</v>
      </c>
    </row>
    <row r="17">
      <c r="K17" s="4" t="s">
        <v>12</v>
      </c>
      <c r="L17" s="1">
        <v>3.76</v>
      </c>
      <c r="M17" s="1">
        <v>106.61</v>
      </c>
      <c r="N17" s="1">
        <v>90.905</v>
      </c>
      <c r="O17" s="3">
        <f t="shared" si="7"/>
        <v>0.1802168799</v>
      </c>
      <c r="P17" s="3">
        <f t="shared" si="8"/>
        <v>18.02168799</v>
      </c>
    </row>
    <row r="18">
      <c r="K18" s="8" t="s">
        <v>16</v>
      </c>
      <c r="L18" s="1">
        <v>3.817</v>
      </c>
      <c r="M18" s="1">
        <v>133.302</v>
      </c>
      <c r="N18" s="1">
        <v>118.012</v>
      </c>
      <c r="O18" s="3">
        <f t="shared" si="7"/>
        <v>0.1338937782</v>
      </c>
      <c r="P18" s="3">
        <f t="shared" si="8"/>
        <v>13.38937782</v>
      </c>
    </row>
    <row r="19">
      <c r="K19" s="8" t="s">
        <v>19</v>
      </c>
      <c r="L19" s="1">
        <v>4.052</v>
      </c>
      <c r="M19" s="1">
        <v>97.12</v>
      </c>
      <c r="N19" s="1">
        <v>82.35</v>
      </c>
      <c r="O19" s="3">
        <f t="shared" si="7"/>
        <v>0.1886382794</v>
      </c>
      <c r="P19" s="3">
        <f t="shared" si="8"/>
        <v>18.86382794</v>
      </c>
    </row>
    <row r="20">
      <c r="K20" s="8" t="s">
        <v>21</v>
      </c>
      <c r="L20" s="1">
        <v>4.132</v>
      </c>
      <c r="M20" s="1">
        <v>117.386</v>
      </c>
      <c r="N20" s="1">
        <v>97.751</v>
      </c>
      <c r="O20" s="3">
        <f t="shared" si="7"/>
        <v>0.209733067</v>
      </c>
      <c r="P20" s="3">
        <f t="shared" si="8"/>
        <v>20.9733067</v>
      </c>
    </row>
    <row r="21">
      <c r="K21" s="8" t="s">
        <v>23</v>
      </c>
      <c r="L21" s="1">
        <v>4.032</v>
      </c>
      <c r="M21" s="1">
        <v>138.854</v>
      </c>
      <c r="N21" s="1">
        <v>111.957</v>
      </c>
      <c r="O21" s="3">
        <f t="shared" si="7"/>
        <v>0.2492193653</v>
      </c>
      <c r="P21" s="3">
        <f t="shared" si="8"/>
        <v>24.92193653</v>
      </c>
    </row>
    <row r="22">
      <c r="K22" s="8" t="s">
        <v>26</v>
      </c>
      <c r="L22" s="1">
        <v>3.577</v>
      </c>
      <c r="M22" s="1">
        <v>153.163</v>
      </c>
      <c r="N22" s="1">
        <v>122.268</v>
      </c>
      <c r="O22" s="3">
        <f t="shared" si="7"/>
        <v>0.2602977479</v>
      </c>
      <c r="P22" s="3">
        <f t="shared" si="8"/>
        <v>26.02977479</v>
      </c>
    </row>
    <row r="23">
      <c r="K23" s="8" t="s">
        <v>28</v>
      </c>
      <c r="L23" s="1">
        <v>3.694</v>
      </c>
      <c r="M23" s="1">
        <v>163.058</v>
      </c>
      <c r="N23" s="1">
        <v>134.963</v>
      </c>
      <c r="O23" s="3">
        <f t="shared" si="7"/>
        <v>0.21402616</v>
      </c>
      <c r="P23" s="3">
        <f t="shared" si="8"/>
        <v>21.402616</v>
      </c>
      <c r="Y23" s="1" t="s">
        <v>39</v>
      </c>
    </row>
    <row r="24">
      <c r="K24" s="8" t="s">
        <v>30</v>
      </c>
      <c r="L24" s="1">
        <v>3.844</v>
      </c>
      <c r="M24" s="1">
        <v>115.855</v>
      </c>
      <c r="N24" s="1">
        <v>96.909</v>
      </c>
      <c r="O24" s="3">
        <f t="shared" si="7"/>
        <v>0.2035781443</v>
      </c>
      <c r="P24" s="3">
        <f t="shared" si="8"/>
        <v>20.35781443</v>
      </c>
      <c r="Z24" s="9" t="s">
        <v>10</v>
      </c>
      <c r="AA24" s="7">
        <v>16.22976</v>
      </c>
    </row>
    <row r="25">
      <c r="K25" s="8" t="s">
        <v>32</v>
      </c>
      <c r="L25" s="1">
        <v>3.844</v>
      </c>
      <c r="M25" s="1">
        <v>96.876</v>
      </c>
      <c r="N25" s="1">
        <v>78.974</v>
      </c>
      <c r="O25" s="3">
        <f t="shared" si="7"/>
        <v>0.2382803141</v>
      </c>
      <c r="P25" s="3">
        <f t="shared" si="8"/>
        <v>23.82803141</v>
      </c>
      <c r="Z25" s="9" t="s">
        <v>12</v>
      </c>
      <c r="AA25" s="7">
        <v>15.16629</v>
      </c>
    </row>
    <row r="26">
      <c r="K26" s="8" t="s">
        <v>34</v>
      </c>
      <c r="L26" s="1">
        <v>3.864</v>
      </c>
      <c r="M26" s="1">
        <v>93.039</v>
      </c>
      <c r="N26" s="1">
        <v>84.279</v>
      </c>
      <c r="O26" s="3">
        <f t="shared" si="7"/>
        <v>0.1089349002</v>
      </c>
      <c r="P26" s="3">
        <f t="shared" si="8"/>
        <v>10.89349002</v>
      </c>
      <c r="Z26" s="10" t="s">
        <v>16</v>
      </c>
      <c r="AA26" s="7">
        <v>14.83488</v>
      </c>
    </row>
    <row r="27">
      <c r="K27" s="8" t="s">
        <v>36</v>
      </c>
      <c r="L27" s="1">
        <v>3.861</v>
      </c>
      <c r="M27" s="1">
        <v>125.036</v>
      </c>
      <c r="N27" s="1">
        <v>103.501</v>
      </c>
      <c r="O27" s="3">
        <f t="shared" si="7"/>
        <v>0.216128061</v>
      </c>
      <c r="P27" s="3">
        <f t="shared" si="8"/>
        <v>21.6128061</v>
      </c>
      <c r="Z27" s="10" t="s">
        <v>19</v>
      </c>
      <c r="AA27" s="7">
        <v>18.14763</v>
      </c>
    </row>
    <row r="28">
      <c r="Z28" s="10" t="s">
        <v>21</v>
      </c>
      <c r="AA28" s="7">
        <v>21.41588</v>
      </c>
    </row>
    <row r="29">
      <c r="K29" s="3" t="s">
        <v>3</v>
      </c>
      <c r="L29" s="3" t="s">
        <v>4</v>
      </c>
      <c r="M29" s="3" t="s">
        <v>5</v>
      </c>
      <c r="N29" s="3" t="s">
        <v>7</v>
      </c>
      <c r="O29" s="3" t="s">
        <v>8</v>
      </c>
      <c r="P29" s="3" t="s">
        <v>9</v>
      </c>
      <c r="Q29" s="6">
        <v>45784.0</v>
      </c>
      <c r="Z29" s="10" t="s">
        <v>23</v>
      </c>
      <c r="AA29" s="7">
        <v>28.6736</v>
      </c>
    </row>
    <row r="30">
      <c r="K30" s="3" t="s">
        <v>10</v>
      </c>
      <c r="L30" s="3">
        <v>4.149</v>
      </c>
      <c r="M30" s="1">
        <v>104.357</v>
      </c>
      <c r="N30" s="1">
        <v>92.456</v>
      </c>
      <c r="O30" s="3">
        <f t="shared" ref="O30:O41" si="9">((M30-L30)-(N30-L30))/(N30-L30)</f>
        <v>0.1347684782</v>
      </c>
      <c r="P30" s="3">
        <f t="shared" ref="P30:P41" si="10">O30*100</f>
        <v>13.47684782</v>
      </c>
      <c r="Z30" s="10" t="s">
        <v>26</v>
      </c>
      <c r="AA30" s="7">
        <v>21.61435</v>
      </c>
    </row>
    <row r="31">
      <c r="K31" s="3" t="s">
        <v>12</v>
      </c>
      <c r="L31" s="1">
        <v>3.723</v>
      </c>
      <c r="M31" s="1">
        <v>145.288</v>
      </c>
      <c r="N31" s="1">
        <v>127.592</v>
      </c>
      <c r="O31" s="3">
        <f t="shared" si="9"/>
        <v>0.1428606027</v>
      </c>
      <c r="P31" s="3">
        <f t="shared" si="10"/>
        <v>14.28606027</v>
      </c>
      <c r="Z31" s="10" t="s">
        <v>28</v>
      </c>
      <c r="AA31" s="7">
        <v>18.75762</v>
      </c>
    </row>
    <row r="32">
      <c r="K32" s="3" t="s">
        <v>16</v>
      </c>
      <c r="L32" s="1">
        <v>3.797</v>
      </c>
      <c r="M32" s="1">
        <v>126.514</v>
      </c>
      <c r="N32" s="1">
        <v>115.412</v>
      </c>
      <c r="O32" s="3">
        <f t="shared" si="9"/>
        <v>0.09946691753</v>
      </c>
      <c r="P32" s="3">
        <f t="shared" si="10"/>
        <v>9.946691753</v>
      </c>
      <c r="Z32" s="10" t="s">
        <v>30</v>
      </c>
      <c r="AA32" s="7">
        <v>17.31491</v>
      </c>
    </row>
    <row r="33">
      <c r="K33" s="3" t="s">
        <v>19</v>
      </c>
      <c r="L33" s="1">
        <v>3.985</v>
      </c>
      <c r="M33" s="1">
        <v>184.706</v>
      </c>
      <c r="N33" s="1">
        <v>164.716</v>
      </c>
      <c r="O33" s="3">
        <f t="shared" si="9"/>
        <v>0.1243692878</v>
      </c>
      <c r="P33" s="3">
        <f t="shared" si="10"/>
        <v>12.43692878</v>
      </c>
      <c r="Z33" s="10" t="s">
        <v>32</v>
      </c>
      <c r="AA33" s="7">
        <v>23.01431</v>
      </c>
    </row>
    <row r="34">
      <c r="K34" s="3" t="s">
        <v>21</v>
      </c>
      <c r="L34" s="1">
        <v>4.154</v>
      </c>
      <c r="M34" s="1">
        <v>123.541</v>
      </c>
      <c r="N34" s="1">
        <v>104.172</v>
      </c>
      <c r="O34" s="3">
        <f t="shared" si="9"/>
        <v>0.1936551421</v>
      </c>
      <c r="P34" s="3">
        <f t="shared" si="10"/>
        <v>19.36551421</v>
      </c>
      <c r="Z34" s="10" t="s">
        <v>34</v>
      </c>
      <c r="AA34" s="7">
        <v>15.26521</v>
      </c>
    </row>
    <row r="35">
      <c r="K35" s="3" t="s">
        <v>23</v>
      </c>
      <c r="L35" s="1">
        <v>4.068</v>
      </c>
      <c r="M35" s="1">
        <v>91.497</v>
      </c>
      <c r="N35" s="1">
        <v>70.556</v>
      </c>
      <c r="O35" s="3">
        <f t="shared" si="9"/>
        <v>0.3149590904</v>
      </c>
      <c r="P35" s="3">
        <f t="shared" si="10"/>
        <v>31.49590904</v>
      </c>
      <c r="Z35" s="10" t="s">
        <v>36</v>
      </c>
      <c r="AA35" s="7">
        <v>22.92007</v>
      </c>
    </row>
    <row r="36">
      <c r="K36" s="3" t="s">
        <v>26</v>
      </c>
      <c r="L36" s="1">
        <v>3.637</v>
      </c>
      <c r="M36" s="1">
        <v>109.583</v>
      </c>
      <c r="N36" s="1">
        <v>93.458</v>
      </c>
      <c r="O36" s="3">
        <f t="shared" si="9"/>
        <v>0.1795237194</v>
      </c>
      <c r="P36" s="3">
        <f t="shared" si="10"/>
        <v>17.95237194</v>
      </c>
      <c r="Z36" s="1" t="s">
        <v>40</v>
      </c>
      <c r="AA36" s="1" t="s">
        <v>41</v>
      </c>
    </row>
    <row r="37">
      <c r="K37" s="3" t="s">
        <v>28</v>
      </c>
      <c r="L37" s="1">
        <v>3.742</v>
      </c>
      <c r="M37" s="1">
        <v>134.868</v>
      </c>
      <c r="N37" s="1">
        <v>117.696</v>
      </c>
      <c r="O37" s="3">
        <f t="shared" si="9"/>
        <v>0.1506923846</v>
      </c>
      <c r="P37" s="3">
        <f t="shared" si="10"/>
        <v>15.06923846</v>
      </c>
      <c r="Y37" s="1" t="s">
        <v>42</v>
      </c>
      <c r="Z37" s="11">
        <v>16.22976</v>
      </c>
      <c r="AA37" s="11">
        <v>15.16629</v>
      </c>
    </row>
    <row r="38">
      <c r="K38" s="3" t="s">
        <v>30</v>
      </c>
      <c r="L38" s="1">
        <v>3.877</v>
      </c>
      <c r="M38" s="1">
        <v>152.661</v>
      </c>
      <c r="N38" s="1">
        <v>134.301</v>
      </c>
      <c r="O38" s="3">
        <f t="shared" si="9"/>
        <v>0.1407716371</v>
      </c>
      <c r="P38" s="3">
        <f t="shared" si="10"/>
        <v>14.07716371</v>
      </c>
      <c r="Y38" s="1" t="s">
        <v>43</v>
      </c>
      <c r="Z38" s="11">
        <v>14.83488</v>
      </c>
      <c r="AA38" s="11">
        <v>18.14763</v>
      </c>
    </row>
    <row r="39">
      <c r="K39" s="3" t="s">
        <v>32</v>
      </c>
      <c r="L39" s="1">
        <v>3.861</v>
      </c>
      <c r="M39" s="1">
        <v>157.278</v>
      </c>
      <c r="N39" s="1">
        <v>128.836</v>
      </c>
      <c r="O39" s="3">
        <f t="shared" si="9"/>
        <v>0.2275815163</v>
      </c>
      <c r="P39" s="3">
        <f t="shared" si="10"/>
        <v>22.75815163</v>
      </c>
      <c r="Y39" s="1" t="s">
        <v>44</v>
      </c>
      <c r="Z39" s="11">
        <v>21.41588</v>
      </c>
      <c r="AA39" s="11">
        <v>28.6736</v>
      </c>
    </row>
    <row r="40">
      <c r="K40" s="3" t="s">
        <v>34</v>
      </c>
      <c r="L40" s="1">
        <v>3.884</v>
      </c>
      <c r="M40" s="1">
        <v>125.185</v>
      </c>
      <c r="N40" s="1">
        <v>107.883</v>
      </c>
      <c r="O40" s="3">
        <f t="shared" si="9"/>
        <v>0.1663669843</v>
      </c>
      <c r="P40" s="3">
        <f t="shared" si="10"/>
        <v>16.63669843</v>
      </c>
      <c r="Y40" s="1" t="s">
        <v>45</v>
      </c>
      <c r="Z40" s="11">
        <v>21.61435</v>
      </c>
      <c r="AA40" s="11">
        <v>18.75762</v>
      </c>
    </row>
    <row r="41">
      <c r="K41" s="3" t="s">
        <v>36</v>
      </c>
      <c r="L41" s="1">
        <v>3.861</v>
      </c>
      <c r="M41" s="1">
        <v>120.479</v>
      </c>
      <c r="N41" s="1">
        <v>98.015</v>
      </c>
      <c r="O41" s="3">
        <f t="shared" si="9"/>
        <v>0.2385878454</v>
      </c>
      <c r="P41" s="3">
        <f t="shared" si="10"/>
        <v>23.85878454</v>
      </c>
      <c r="Y41" s="1" t="s">
        <v>46</v>
      </c>
      <c r="Z41" s="11">
        <v>17.31491</v>
      </c>
      <c r="AA41" s="11">
        <v>23.01431</v>
      </c>
    </row>
    <row r="42">
      <c r="Y42" s="1" t="s">
        <v>47</v>
      </c>
      <c r="Z42" s="11">
        <v>15.26521</v>
      </c>
      <c r="AA42" s="11">
        <v>22.92007</v>
      </c>
    </row>
    <row r="44">
      <c r="K44" s="3" t="s">
        <v>3</v>
      </c>
      <c r="L44" s="3" t="s">
        <v>4</v>
      </c>
      <c r="M44" s="3" t="s">
        <v>5</v>
      </c>
      <c r="N44" s="3" t="s">
        <v>7</v>
      </c>
      <c r="O44" s="3" t="s">
        <v>8</v>
      </c>
      <c r="P44" s="3" t="s">
        <v>9</v>
      </c>
      <c r="Q44" s="1" t="s">
        <v>48</v>
      </c>
      <c r="R44" s="1" t="s">
        <v>49</v>
      </c>
      <c r="S44" s="6">
        <v>45809.0</v>
      </c>
    </row>
    <row r="45">
      <c r="K45" s="3" t="s">
        <v>10</v>
      </c>
      <c r="L45" s="1">
        <v>4.143</v>
      </c>
      <c r="M45" s="1">
        <v>53.51</v>
      </c>
      <c r="N45" s="1">
        <v>48.226</v>
      </c>
      <c r="O45" s="3">
        <f t="shared" ref="O45:O60" si="11">((M45-L45)-(N45-L45))/(N45-L45)</f>
        <v>0.1198648005</v>
      </c>
      <c r="P45" s="3">
        <f t="shared" ref="P45:P60" si="12">O45*100</f>
        <v>11.98648005</v>
      </c>
      <c r="Q45" s="1">
        <v>270.0</v>
      </c>
      <c r="R45" s="1">
        <v>8.6</v>
      </c>
    </row>
    <row r="46">
      <c r="K46" s="3" t="s">
        <v>12</v>
      </c>
      <c r="L46" s="1">
        <v>3.722</v>
      </c>
      <c r="M46" s="1">
        <v>98.836</v>
      </c>
      <c r="N46" s="1">
        <v>88.151</v>
      </c>
      <c r="O46" s="3">
        <f t="shared" si="11"/>
        <v>0.1265560412</v>
      </c>
      <c r="P46" s="3">
        <f t="shared" si="12"/>
        <v>12.65560412</v>
      </c>
      <c r="Q46" s="1">
        <v>550.0</v>
      </c>
      <c r="R46" s="1">
        <v>7.8</v>
      </c>
    </row>
    <row r="47">
      <c r="K47" s="3" t="s">
        <v>16</v>
      </c>
      <c r="L47" s="1">
        <v>3.792</v>
      </c>
      <c r="M47" s="1">
        <v>102.884</v>
      </c>
      <c r="N47" s="1">
        <v>92.177</v>
      </c>
      <c r="O47" s="3">
        <f t="shared" si="11"/>
        <v>0.121140465</v>
      </c>
      <c r="P47" s="3">
        <f t="shared" si="12"/>
        <v>12.1140465</v>
      </c>
      <c r="Q47" s="1">
        <v>250.0</v>
      </c>
      <c r="R47" s="1">
        <v>8.1</v>
      </c>
    </row>
    <row r="48">
      <c r="K48" s="3" t="s">
        <v>19</v>
      </c>
      <c r="L48" s="1">
        <v>3.997</v>
      </c>
      <c r="M48" s="1">
        <v>80.003</v>
      </c>
      <c r="N48" s="1">
        <v>71.996</v>
      </c>
      <c r="O48" s="3">
        <f t="shared" si="11"/>
        <v>0.1177517316</v>
      </c>
      <c r="P48" s="3">
        <f t="shared" si="12"/>
        <v>11.77517316</v>
      </c>
      <c r="Q48" s="1">
        <v>370.0</v>
      </c>
      <c r="R48" s="1">
        <v>8.1</v>
      </c>
    </row>
    <row r="49">
      <c r="K49" s="3" t="s">
        <v>21</v>
      </c>
      <c r="L49" s="1">
        <v>4.153</v>
      </c>
      <c r="M49" s="1">
        <v>99.414</v>
      </c>
      <c r="N49" s="1">
        <v>76.338</v>
      </c>
      <c r="O49" s="3">
        <f t="shared" si="11"/>
        <v>0.3196786036</v>
      </c>
      <c r="P49" s="3">
        <f t="shared" si="12"/>
        <v>31.96786036</v>
      </c>
      <c r="Q49" s="1">
        <v>260.0</v>
      </c>
      <c r="R49" s="1">
        <v>7.3</v>
      </c>
    </row>
    <row r="50">
      <c r="K50" s="3" t="s">
        <v>23</v>
      </c>
      <c r="L50" s="1">
        <v>4.086</v>
      </c>
      <c r="M50" s="1">
        <v>150.177</v>
      </c>
      <c r="N50" s="1">
        <v>109.557</v>
      </c>
      <c r="O50" s="3">
        <f t="shared" si="11"/>
        <v>0.3851295617</v>
      </c>
      <c r="P50" s="3">
        <f t="shared" si="12"/>
        <v>38.51295617</v>
      </c>
      <c r="Q50" s="1">
        <v>720.0</v>
      </c>
      <c r="R50" s="1">
        <v>7.2</v>
      </c>
    </row>
    <row r="51">
      <c r="K51" s="3" t="s">
        <v>26</v>
      </c>
      <c r="L51" s="1">
        <v>3.625</v>
      </c>
      <c r="M51" s="1">
        <v>114.05</v>
      </c>
      <c r="N51" s="1">
        <v>96.674</v>
      </c>
      <c r="O51" s="3">
        <f t="shared" si="11"/>
        <v>0.1867403196</v>
      </c>
      <c r="P51" s="3">
        <f t="shared" si="12"/>
        <v>18.67403196</v>
      </c>
      <c r="Q51" s="1">
        <v>350.0</v>
      </c>
      <c r="R51" s="1">
        <v>7.8</v>
      </c>
    </row>
    <row r="52">
      <c r="K52" s="3" t="s">
        <v>28</v>
      </c>
      <c r="L52" s="1">
        <v>3.723</v>
      </c>
      <c r="M52" s="1">
        <v>152.051</v>
      </c>
      <c r="N52" s="1">
        <v>130.976</v>
      </c>
      <c r="O52" s="3">
        <f t="shared" si="11"/>
        <v>0.165614956</v>
      </c>
      <c r="P52" s="3">
        <f t="shared" si="12"/>
        <v>16.5614956</v>
      </c>
      <c r="Q52" s="1">
        <v>220.0</v>
      </c>
      <c r="R52" s="1">
        <v>8.1</v>
      </c>
    </row>
    <row r="53">
      <c r="K53" s="3" t="s">
        <v>30</v>
      </c>
      <c r="L53" s="1">
        <v>3.857</v>
      </c>
      <c r="M53" s="1">
        <v>109.98</v>
      </c>
      <c r="N53" s="1">
        <v>95.85</v>
      </c>
      <c r="O53" s="3">
        <f t="shared" si="11"/>
        <v>0.1535986434</v>
      </c>
      <c r="P53" s="3">
        <f t="shared" si="12"/>
        <v>15.35986434</v>
      </c>
      <c r="Q53" s="1">
        <v>290.0</v>
      </c>
      <c r="R53" s="1">
        <v>8.8</v>
      </c>
    </row>
    <row r="54">
      <c r="K54" s="3" t="s">
        <v>32</v>
      </c>
      <c r="L54" s="1">
        <v>3.847</v>
      </c>
      <c r="M54" s="1">
        <v>102.786</v>
      </c>
      <c r="N54" s="1">
        <v>88.652</v>
      </c>
      <c r="O54" s="3">
        <f t="shared" si="11"/>
        <v>0.1666647014</v>
      </c>
      <c r="P54" s="3">
        <f t="shared" si="12"/>
        <v>16.66647014</v>
      </c>
      <c r="Q54" s="1">
        <v>480.0</v>
      </c>
      <c r="R54" s="1">
        <v>8.6</v>
      </c>
    </row>
    <row r="55">
      <c r="K55" s="3" t="s">
        <v>34</v>
      </c>
      <c r="L55" s="1">
        <v>3.869</v>
      </c>
      <c r="M55" s="1">
        <v>103.282</v>
      </c>
      <c r="N55" s="1">
        <v>92.639</v>
      </c>
      <c r="O55" s="3">
        <f t="shared" si="11"/>
        <v>0.1198941084</v>
      </c>
      <c r="P55" s="3">
        <f t="shared" si="12"/>
        <v>11.98941084</v>
      </c>
      <c r="Q55" s="1">
        <v>300.0</v>
      </c>
      <c r="R55" s="1">
        <v>8.7</v>
      </c>
    </row>
    <row r="56">
      <c r="K56" s="3" t="s">
        <v>36</v>
      </c>
      <c r="L56" s="1">
        <v>3.859</v>
      </c>
      <c r="M56" s="1">
        <v>136.18</v>
      </c>
      <c r="N56" s="1">
        <v>114.725</v>
      </c>
      <c r="O56" s="3">
        <f t="shared" si="11"/>
        <v>0.1935219093</v>
      </c>
      <c r="P56" s="3">
        <f t="shared" si="12"/>
        <v>19.35219093</v>
      </c>
      <c r="Q56" s="1">
        <v>440.0</v>
      </c>
      <c r="R56" s="1">
        <v>8.4</v>
      </c>
    </row>
    <row r="57">
      <c r="K57" s="1" t="s">
        <v>50</v>
      </c>
      <c r="L57" s="1">
        <v>4.002</v>
      </c>
      <c r="M57" s="1">
        <v>93.534</v>
      </c>
      <c r="N57" s="1">
        <v>81.09</v>
      </c>
      <c r="O57" s="3">
        <f t="shared" si="11"/>
        <v>0.1614259029</v>
      </c>
      <c r="P57" s="3">
        <f t="shared" si="12"/>
        <v>16.14259029</v>
      </c>
      <c r="Q57" s="1">
        <v>530.0</v>
      </c>
      <c r="R57" s="1">
        <v>8.3</v>
      </c>
    </row>
    <row r="58">
      <c r="K58" s="1" t="s">
        <v>51</v>
      </c>
      <c r="L58" s="1">
        <v>3.974</v>
      </c>
      <c r="M58" s="1">
        <v>106.451</v>
      </c>
      <c r="N58" s="1">
        <v>92.859</v>
      </c>
      <c r="O58" s="3">
        <f t="shared" si="11"/>
        <v>0.1529166901</v>
      </c>
      <c r="P58" s="3">
        <f t="shared" si="12"/>
        <v>15.29166901</v>
      </c>
      <c r="Q58" s="1">
        <v>490.0</v>
      </c>
      <c r="R58" s="1">
        <v>8.6</v>
      </c>
    </row>
    <row r="59">
      <c r="K59" s="1" t="s">
        <v>52</v>
      </c>
      <c r="L59" s="1">
        <v>4.026</v>
      </c>
      <c r="M59" s="1">
        <v>102.221</v>
      </c>
      <c r="N59" s="1">
        <v>89.281</v>
      </c>
      <c r="O59" s="3">
        <f t="shared" si="11"/>
        <v>0.1517799543</v>
      </c>
      <c r="P59" s="3">
        <f t="shared" si="12"/>
        <v>15.17799543</v>
      </c>
      <c r="Q59" s="1">
        <v>460.0</v>
      </c>
      <c r="R59" s="1">
        <v>8.3</v>
      </c>
    </row>
    <row r="60">
      <c r="K60" s="1" t="s">
        <v>53</v>
      </c>
      <c r="L60" s="1">
        <v>3.991</v>
      </c>
      <c r="M60" s="1">
        <v>104.511</v>
      </c>
      <c r="N60" s="1">
        <v>89.135</v>
      </c>
      <c r="O60" s="3">
        <f t="shared" si="11"/>
        <v>0.18058818</v>
      </c>
      <c r="P60" s="3">
        <f t="shared" si="12"/>
        <v>18.058818</v>
      </c>
      <c r="Q60" s="1">
        <v>500.0</v>
      </c>
      <c r="R60" s="1">
        <v>8.1</v>
      </c>
    </row>
    <row r="62">
      <c r="C62" s="1" t="s">
        <v>54</v>
      </c>
    </row>
    <row r="63">
      <c r="A63" s="1" t="s">
        <v>55</v>
      </c>
      <c r="B63" s="1" t="s">
        <v>56</v>
      </c>
      <c r="C63" s="12">
        <v>45754.0</v>
      </c>
      <c r="D63" s="12">
        <v>45770.0</v>
      </c>
      <c r="E63" s="12">
        <v>45784.0</v>
      </c>
      <c r="F63" s="12">
        <v>45809.0</v>
      </c>
    </row>
    <row r="64">
      <c r="A64" s="1" t="s">
        <v>42</v>
      </c>
      <c r="B64" s="1" t="s">
        <v>57</v>
      </c>
      <c r="C64" s="3">
        <v>18.790853085517394</v>
      </c>
      <c r="D64" s="3">
        <v>16.421592081060687</v>
      </c>
      <c r="E64" s="3">
        <v>13.476847815009</v>
      </c>
      <c r="F64" s="3">
        <v>11.986480048998478</v>
      </c>
      <c r="K64" s="3" t="s">
        <v>3</v>
      </c>
      <c r="L64" s="3" t="s">
        <v>4</v>
      </c>
      <c r="M64" s="3" t="s">
        <v>5</v>
      </c>
      <c r="N64" s="3" t="s">
        <v>7</v>
      </c>
      <c r="O64" s="3" t="s">
        <v>8</v>
      </c>
      <c r="P64" s="3" t="s">
        <v>9</v>
      </c>
      <c r="Q64" s="1" t="s">
        <v>48</v>
      </c>
      <c r="R64" s="6">
        <v>45855.0</v>
      </c>
    </row>
    <row r="65">
      <c r="A65" s="1" t="s">
        <v>42</v>
      </c>
      <c r="B65" s="1" t="s">
        <v>58</v>
      </c>
      <c r="C65" s="3">
        <v>13.191126662629255</v>
      </c>
      <c r="D65" s="3">
        <v>18.021687991278903</v>
      </c>
      <c r="E65" s="3">
        <v>14.286060273353298</v>
      </c>
      <c r="F65" s="3">
        <v>12.655604117068783</v>
      </c>
      <c r="K65" s="3" t="s">
        <v>10</v>
      </c>
      <c r="L65" s="1">
        <v>4.143</v>
      </c>
      <c r="M65" s="1">
        <v>64.882</v>
      </c>
      <c r="O65" s="3">
        <f t="shared" ref="O65:O80" si="13">((M65-L65)-(N65-L65))/(N65-L65)</f>
        <v>-15.66063239</v>
      </c>
      <c r="P65" s="3">
        <f t="shared" ref="P65:P80" si="14">O65*100</f>
        <v>-1566.063239</v>
      </c>
      <c r="Q65" s="1">
        <v>550.0</v>
      </c>
    </row>
    <row r="66">
      <c r="A66" s="1" t="s">
        <v>43</v>
      </c>
      <c r="B66" s="1" t="s">
        <v>57</v>
      </c>
      <c r="C66" s="3">
        <v>21.16858456681385</v>
      </c>
      <c r="D66" s="3">
        <v>13.389377818643542</v>
      </c>
      <c r="E66" s="3">
        <v>9.946691752900586</v>
      </c>
      <c r="F66" s="3">
        <v>12.11404650110312</v>
      </c>
      <c r="K66" s="3" t="s">
        <v>12</v>
      </c>
      <c r="L66" s="1">
        <v>3.725</v>
      </c>
      <c r="M66" s="1">
        <v>63.219</v>
      </c>
      <c r="O66" s="3">
        <f t="shared" si="13"/>
        <v>-16.97154362</v>
      </c>
      <c r="P66" s="3">
        <f t="shared" si="14"/>
        <v>-1697.154362</v>
      </c>
      <c r="Q66" s="1">
        <v>1175.0</v>
      </c>
    </row>
    <row r="67">
      <c r="A67" s="1" t="s">
        <v>43</v>
      </c>
      <c r="B67" s="1" t="s">
        <v>58</v>
      </c>
      <c r="C67" s="3">
        <v>23.142137459517816</v>
      </c>
      <c r="D67" s="3">
        <v>18.86382793941098</v>
      </c>
      <c r="E67" s="3">
        <v>12.436928781628922</v>
      </c>
      <c r="F67" s="3">
        <v>11.775173164311248</v>
      </c>
      <c r="K67" s="3" t="s">
        <v>16</v>
      </c>
      <c r="L67" s="1">
        <v>3.782</v>
      </c>
      <c r="M67" s="1">
        <v>61.353</v>
      </c>
      <c r="O67" s="3">
        <f t="shared" si="13"/>
        <v>-16.22236912</v>
      </c>
      <c r="P67" s="3">
        <f t="shared" si="14"/>
        <v>-1622.236912</v>
      </c>
      <c r="Q67" s="1">
        <v>330.0</v>
      </c>
    </row>
    <row r="68">
      <c r="A68" s="1" t="s">
        <v>44</v>
      </c>
      <c r="B68" s="1" t="s">
        <v>57</v>
      </c>
      <c r="C68" s="3">
        <v>23.908807332383407</v>
      </c>
      <c r="D68" s="3">
        <v>20.97330670056291</v>
      </c>
      <c r="E68" s="3">
        <v>19.36551420744266</v>
      </c>
      <c r="F68" s="3">
        <v>31.96786035880032</v>
      </c>
      <c r="K68" s="3" t="s">
        <v>19</v>
      </c>
      <c r="L68" s="1">
        <v>3.988</v>
      </c>
      <c r="M68" s="1">
        <v>64.629</v>
      </c>
      <c r="O68" s="3">
        <f t="shared" si="13"/>
        <v>-16.2058676</v>
      </c>
      <c r="P68" s="3">
        <f t="shared" si="14"/>
        <v>-1620.58676</v>
      </c>
      <c r="Q68" s="1">
        <v>480.0</v>
      </c>
    </row>
    <row r="69">
      <c r="A69" s="1" t="s">
        <v>44</v>
      </c>
      <c r="B69" s="1" t="s">
        <v>58</v>
      </c>
      <c r="C69" s="3">
        <v>29.602968523707922</v>
      </c>
      <c r="D69" s="3">
        <v>24.92193652999769</v>
      </c>
      <c r="E69" s="3">
        <v>31.495909036217068</v>
      </c>
      <c r="F69" s="3">
        <v>38.512956168046166</v>
      </c>
      <c r="K69" s="3" t="s">
        <v>21</v>
      </c>
      <c r="L69" s="1">
        <v>4.139</v>
      </c>
      <c r="M69" s="1">
        <v>76.11</v>
      </c>
      <c r="O69" s="3">
        <f t="shared" si="13"/>
        <v>-18.38849964</v>
      </c>
      <c r="P69" s="3">
        <f t="shared" si="14"/>
        <v>-1838.849964</v>
      </c>
      <c r="Q69" s="1">
        <v>250.0</v>
      </c>
    </row>
    <row r="70">
      <c r="A70" s="1" t="s">
        <v>45</v>
      </c>
      <c r="B70" s="1" t="s">
        <v>57</v>
      </c>
      <c r="C70" s="3">
        <v>20.860915399222673</v>
      </c>
      <c r="D70" s="3">
        <v>26.02977479337103</v>
      </c>
      <c r="E70" s="3">
        <v>17.95237193974683</v>
      </c>
      <c r="F70" s="3">
        <v>18.6740319616546</v>
      </c>
      <c r="K70" s="3" t="s">
        <v>23</v>
      </c>
      <c r="L70" s="1">
        <v>4.053</v>
      </c>
      <c r="M70" s="1">
        <v>99.101</v>
      </c>
      <c r="O70" s="3">
        <f t="shared" si="13"/>
        <v>-24.45127066</v>
      </c>
      <c r="P70" s="3">
        <f t="shared" si="14"/>
        <v>-2445.127066</v>
      </c>
      <c r="Q70" s="1">
        <v>800.0</v>
      </c>
    </row>
    <row r="71">
      <c r="A71" s="1" t="s">
        <v>45</v>
      </c>
      <c r="B71" s="1" t="s">
        <v>58</v>
      </c>
      <c r="C71" s="3">
        <v>19.80100841400381</v>
      </c>
      <c r="D71" s="3">
        <v>21.40261600225491</v>
      </c>
      <c r="E71" s="3">
        <v>15.06923846464364</v>
      </c>
      <c r="F71" s="3">
        <v>16.561495603247053</v>
      </c>
      <c r="K71" s="3" t="s">
        <v>26</v>
      </c>
      <c r="L71" s="1">
        <v>3.613</v>
      </c>
      <c r="M71" s="1">
        <v>132.865</v>
      </c>
      <c r="O71" s="3">
        <f t="shared" si="13"/>
        <v>-36.77414891</v>
      </c>
      <c r="P71" s="3">
        <f t="shared" si="14"/>
        <v>-3677.414891</v>
      </c>
      <c r="Q71" s="1">
        <v>420.0</v>
      </c>
    </row>
    <row r="72">
      <c r="A72" s="1" t="s">
        <v>46</v>
      </c>
      <c r="B72" s="1" t="s">
        <v>57</v>
      </c>
      <c r="C72" s="3">
        <v>17.509758353827756</v>
      </c>
      <c r="D72" s="3">
        <v>20.357814430774184</v>
      </c>
      <c r="E72" s="3">
        <v>14.077163712200221</v>
      </c>
      <c r="F72" s="3">
        <v>15.35986433750395</v>
      </c>
      <c r="K72" s="3" t="s">
        <v>28</v>
      </c>
      <c r="L72" s="1">
        <v>3.713</v>
      </c>
      <c r="M72" s="1">
        <v>98.006</v>
      </c>
      <c r="O72" s="3">
        <f t="shared" si="13"/>
        <v>-26.39536763</v>
      </c>
      <c r="P72" s="3">
        <f t="shared" si="14"/>
        <v>-2639.536763</v>
      </c>
      <c r="Q72" s="1">
        <v>700.0</v>
      </c>
    </row>
    <row r="73">
      <c r="A73" s="1" t="s">
        <v>46</v>
      </c>
      <c r="B73" s="1" t="s">
        <v>58</v>
      </c>
      <c r="C73" s="3">
        <v>22.456757549105816</v>
      </c>
      <c r="D73" s="3">
        <v>23.82803141221882</v>
      </c>
      <c r="E73" s="3">
        <v>22.758151630326058</v>
      </c>
      <c r="F73" s="3">
        <v>16.666470137373977</v>
      </c>
      <c r="K73" s="3" t="s">
        <v>30</v>
      </c>
      <c r="L73" s="1">
        <v>3.858</v>
      </c>
      <c r="M73" s="1">
        <v>89.76</v>
      </c>
      <c r="O73" s="3">
        <f t="shared" si="13"/>
        <v>-23.2659409</v>
      </c>
      <c r="P73" s="3">
        <f t="shared" si="14"/>
        <v>-2326.59409</v>
      </c>
      <c r="Q73" s="1">
        <v>250.0</v>
      </c>
    </row>
    <row r="74">
      <c r="A74" s="1" t="s">
        <v>47</v>
      </c>
      <c r="B74" s="1" t="s">
        <v>57</v>
      </c>
      <c r="C74" s="3">
        <v>18.265446404022146</v>
      </c>
      <c r="D74" s="3">
        <v>10.893490020518568</v>
      </c>
      <c r="E74" s="3">
        <v>16.636698429792602</v>
      </c>
      <c r="F74" s="3">
        <v>11.98941083699448</v>
      </c>
      <c r="K74" s="3" t="s">
        <v>32</v>
      </c>
      <c r="L74" s="1">
        <v>3.846</v>
      </c>
      <c r="M74" s="1">
        <v>64.16</v>
      </c>
      <c r="O74" s="3">
        <f t="shared" si="13"/>
        <v>-16.68226729</v>
      </c>
      <c r="P74" s="3">
        <f t="shared" si="14"/>
        <v>-1668.226729</v>
      </c>
      <c r="Q74" s="1">
        <v>500.0</v>
      </c>
    </row>
    <row r="75">
      <c r="A75" s="1" t="s">
        <v>47</v>
      </c>
      <c r="B75" s="1" t="s">
        <v>58</v>
      </c>
      <c r="C75" s="3">
        <v>23.28862416034435</v>
      </c>
      <c r="D75" s="3">
        <v>21.612806101967077</v>
      </c>
      <c r="E75" s="3">
        <v>23.8587845444697</v>
      </c>
      <c r="F75" s="3">
        <v>19.352190933198635</v>
      </c>
      <c r="K75" s="3" t="s">
        <v>34</v>
      </c>
      <c r="L75" s="1">
        <v>3.672</v>
      </c>
      <c r="M75" s="1">
        <v>71.732</v>
      </c>
      <c r="O75" s="3">
        <f t="shared" si="13"/>
        <v>-19.53485839</v>
      </c>
      <c r="P75" s="3">
        <f t="shared" si="14"/>
        <v>-1953.485839</v>
      </c>
      <c r="Q75" s="1">
        <v>270.0</v>
      </c>
    </row>
    <row r="76">
      <c r="A76" s="1" t="s">
        <v>59</v>
      </c>
      <c r="B76" s="1" t="s">
        <v>57</v>
      </c>
      <c r="F76" s="3">
        <v>16.142590286425904</v>
      </c>
      <c r="K76" s="3" t="s">
        <v>36</v>
      </c>
      <c r="L76" s="1">
        <v>3.864</v>
      </c>
      <c r="M76" s="1">
        <v>76.806</v>
      </c>
      <c r="O76" s="3">
        <f t="shared" si="13"/>
        <v>-19.87732919</v>
      </c>
      <c r="P76" s="3">
        <f t="shared" si="14"/>
        <v>-1987.732919</v>
      </c>
      <c r="Q76" s="1">
        <v>350.0</v>
      </c>
    </row>
    <row r="77">
      <c r="A77" s="1" t="s">
        <v>59</v>
      </c>
      <c r="B77" s="1" t="s">
        <v>58</v>
      </c>
      <c r="F77" s="3">
        <v>15.29166901051921</v>
      </c>
      <c r="K77" s="1" t="s">
        <v>50</v>
      </c>
      <c r="L77" s="1">
        <v>3.991</v>
      </c>
      <c r="M77" s="1">
        <v>62.764</v>
      </c>
      <c r="O77" s="3">
        <f t="shared" si="13"/>
        <v>-15.72638436</v>
      </c>
      <c r="P77" s="3">
        <f t="shared" si="14"/>
        <v>-1572.638436</v>
      </c>
      <c r="Q77" s="1">
        <v>850.0</v>
      </c>
    </row>
    <row r="78">
      <c r="A78" s="1" t="s">
        <v>60</v>
      </c>
      <c r="B78" s="1" t="s">
        <v>57</v>
      </c>
      <c r="F78" s="3">
        <v>15.177995425488236</v>
      </c>
      <c r="K78" s="1" t="s">
        <v>51</v>
      </c>
      <c r="L78" s="1">
        <v>3.963</v>
      </c>
      <c r="M78" s="1">
        <v>71.358</v>
      </c>
      <c r="O78" s="3">
        <f t="shared" si="13"/>
        <v>-18.00605602</v>
      </c>
      <c r="P78" s="3">
        <f t="shared" si="14"/>
        <v>-1800.605602</v>
      </c>
      <c r="Q78" s="1">
        <v>1250.0</v>
      </c>
    </row>
    <row r="79">
      <c r="A79" s="1" t="s">
        <v>60</v>
      </c>
      <c r="B79" s="1" t="s">
        <v>58</v>
      </c>
      <c r="F79" s="3">
        <v>18.05881800244291</v>
      </c>
      <c r="K79" s="1" t="s">
        <v>52</v>
      </c>
      <c r="L79" s="1">
        <v>4.032</v>
      </c>
      <c r="M79" s="1">
        <v>60.573</v>
      </c>
      <c r="O79" s="3">
        <f t="shared" si="13"/>
        <v>-15.02306548</v>
      </c>
      <c r="P79" s="3">
        <f t="shared" si="14"/>
        <v>-1502.306548</v>
      </c>
      <c r="Q79" s="1">
        <v>450.0</v>
      </c>
    </row>
    <row r="80">
      <c r="K80" s="1" t="s">
        <v>53</v>
      </c>
      <c r="L80" s="1">
        <v>3.968</v>
      </c>
      <c r="M80" s="1">
        <v>128.764</v>
      </c>
      <c r="O80" s="3">
        <f t="shared" si="13"/>
        <v>-32.45060484</v>
      </c>
      <c r="P80" s="3">
        <f t="shared" si="14"/>
        <v>-3245.060484</v>
      </c>
      <c r="Q80" s="1">
        <v>550.0</v>
      </c>
    </row>
    <row r="82">
      <c r="B82" s="1" t="s">
        <v>48</v>
      </c>
    </row>
    <row r="83">
      <c r="A83" s="3" t="s">
        <v>3</v>
      </c>
      <c r="B83" s="12">
        <v>45809.0</v>
      </c>
      <c r="C83" s="12">
        <v>45855.0</v>
      </c>
    </row>
    <row r="84">
      <c r="A84" s="3" t="s">
        <v>10</v>
      </c>
      <c r="B84" s="1">
        <v>270.0</v>
      </c>
      <c r="C84" s="1">
        <v>550.0</v>
      </c>
    </row>
    <row r="85">
      <c r="A85" s="3" t="s">
        <v>12</v>
      </c>
      <c r="B85" s="1">
        <v>550.0</v>
      </c>
      <c r="C85" s="1">
        <v>1175.0</v>
      </c>
    </row>
    <row r="86">
      <c r="A86" s="3" t="s">
        <v>16</v>
      </c>
      <c r="B86" s="1">
        <v>250.0</v>
      </c>
      <c r="C86" s="1">
        <v>330.0</v>
      </c>
    </row>
    <row r="87">
      <c r="A87" s="3" t="s">
        <v>19</v>
      </c>
      <c r="B87" s="1">
        <v>370.0</v>
      </c>
      <c r="C87" s="1">
        <v>480.0</v>
      </c>
    </row>
    <row r="88">
      <c r="A88" s="3" t="s">
        <v>21</v>
      </c>
      <c r="B88" s="1">
        <v>260.0</v>
      </c>
      <c r="C88" s="1">
        <v>250.0</v>
      </c>
    </row>
    <row r="89">
      <c r="A89" s="3" t="s">
        <v>23</v>
      </c>
      <c r="B89" s="1">
        <v>720.0</v>
      </c>
      <c r="C89" s="1">
        <v>800.0</v>
      </c>
    </row>
    <row r="90">
      <c r="A90" s="3" t="s">
        <v>26</v>
      </c>
      <c r="B90" s="1">
        <v>350.0</v>
      </c>
      <c r="C90" s="1">
        <v>420.0</v>
      </c>
    </row>
    <row r="91">
      <c r="A91" s="3" t="s">
        <v>28</v>
      </c>
      <c r="B91" s="1">
        <v>220.0</v>
      </c>
      <c r="C91" s="1">
        <v>700.0</v>
      </c>
    </row>
    <row r="92">
      <c r="A92" s="3" t="s">
        <v>30</v>
      </c>
      <c r="B92" s="1">
        <v>290.0</v>
      </c>
      <c r="C92" s="1">
        <v>250.0</v>
      </c>
    </row>
    <row r="93">
      <c r="A93" s="3" t="s">
        <v>32</v>
      </c>
      <c r="B93" s="1">
        <v>480.0</v>
      </c>
      <c r="C93" s="1">
        <v>500.0</v>
      </c>
    </row>
    <row r="94">
      <c r="A94" s="3" t="s">
        <v>34</v>
      </c>
      <c r="B94" s="1">
        <v>300.0</v>
      </c>
      <c r="C94" s="1">
        <v>270.0</v>
      </c>
    </row>
    <row r="95">
      <c r="A95" s="3" t="s">
        <v>36</v>
      </c>
      <c r="B95" s="1">
        <v>440.0</v>
      </c>
      <c r="C95" s="1">
        <v>350.0</v>
      </c>
    </row>
    <row r="96">
      <c r="A96" s="1" t="s">
        <v>50</v>
      </c>
      <c r="B96" s="1">
        <v>530.0</v>
      </c>
      <c r="C96" s="1">
        <v>850.0</v>
      </c>
    </row>
    <row r="97">
      <c r="A97" s="1" t="s">
        <v>51</v>
      </c>
      <c r="B97" s="1">
        <v>490.0</v>
      </c>
      <c r="C97" s="1">
        <v>1250.0</v>
      </c>
    </row>
    <row r="98">
      <c r="A98" s="1" t="s">
        <v>52</v>
      </c>
      <c r="B98" s="1">
        <v>460.0</v>
      </c>
      <c r="C98" s="1">
        <v>450.0</v>
      </c>
    </row>
    <row r="99">
      <c r="A99" s="1" t="s">
        <v>53</v>
      </c>
      <c r="B99" s="1">
        <v>500.0</v>
      </c>
      <c r="C99" s="1">
        <v>550.0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4.0"/>
    <col customWidth="1" min="7" max="7" width="14.63"/>
    <col customWidth="1" min="8" max="8" width="20.13"/>
    <col customWidth="1" min="9" max="10" width="13.63"/>
    <col customWidth="1" min="11" max="12" width="14.0"/>
  </cols>
  <sheetData>
    <row r="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>
      <c r="A2" s="1">
        <v>1.0</v>
      </c>
      <c r="B2" s="1">
        <v>7.845</v>
      </c>
      <c r="C2" s="1">
        <v>6.442</v>
      </c>
      <c r="E2" s="1">
        <v>162.747</v>
      </c>
      <c r="F2" s="1">
        <v>173.976</v>
      </c>
      <c r="G2" s="1">
        <v>132.481</v>
      </c>
      <c r="I2" s="1">
        <v>157.454</v>
      </c>
      <c r="J2" s="1">
        <v>168.08</v>
      </c>
      <c r="K2" s="1">
        <v>127.978</v>
      </c>
    </row>
    <row r="3">
      <c r="A3" s="1">
        <v>2.0</v>
      </c>
      <c r="B3" s="1">
        <v>7.263</v>
      </c>
      <c r="C3" s="1">
        <v>6.394</v>
      </c>
      <c r="E3" s="1">
        <v>185.093</v>
      </c>
      <c r="F3" s="1">
        <v>195.116</v>
      </c>
      <c r="G3" s="1">
        <v>122.697</v>
      </c>
      <c r="I3" s="1">
        <v>178.226</v>
      </c>
      <c r="J3" s="1">
        <v>188.451</v>
      </c>
      <c r="K3" s="1">
        <v>118.514</v>
      </c>
    </row>
    <row r="4">
      <c r="A4" s="1">
        <v>3.0</v>
      </c>
      <c r="B4" s="1">
        <v>8.154</v>
      </c>
      <c r="C4" s="1">
        <v>6.386</v>
      </c>
      <c r="E4" s="1">
        <v>159.609</v>
      </c>
      <c r="F4" s="1">
        <v>157.566</v>
      </c>
      <c r="G4" s="1">
        <v>126.043</v>
      </c>
      <c r="I4" s="1">
        <v>150.968</v>
      </c>
      <c r="J4" s="1">
        <v>149.212</v>
      </c>
      <c r="K4" s="1">
        <v>120.013</v>
      </c>
    </row>
    <row r="5">
      <c r="A5" s="1">
        <v>4.0</v>
      </c>
      <c r="B5" s="1">
        <v>7.75</v>
      </c>
      <c r="C5" s="1">
        <v>6.458</v>
      </c>
      <c r="E5" s="1">
        <v>161.876</v>
      </c>
      <c r="F5" s="1">
        <v>149.785</v>
      </c>
      <c r="G5" s="1">
        <v>143.171</v>
      </c>
      <c r="I5" s="1">
        <v>145.731</v>
      </c>
      <c r="J5" s="1">
        <v>133.931</v>
      </c>
      <c r="K5" s="1">
        <v>129.051</v>
      </c>
    </row>
    <row r="6">
      <c r="A6" s="1">
        <v>5.0</v>
      </c>
      <c r="B6" s="1">
        <v>7.681</v>
      </c>
      <c r="C6" s="1">
        <v>6.443</v>
      </c>
      <c r="E6" s="1">
        <v>116.268</v>
      </c>
      <c r="F6" s="1">
        <v>159.649</v>
      </c>
      <c r="G6" s="1">
        <v>197.003</v>
      </c>
      <c r="I6" s="1">
        <v>103.918</v>
      </c>
      <c r="J6" s="1">
        <v>140.705</v>
      </c>
      <c r="K6" s="1">
        <v>177.99</v>
      </c>
    </row>
    <row r="7">
      <c r="A7" s="1">
        <v>6.0</v>
      </c>
      <c r="B7" s="1">
        <v>7.732</v>
      </c>
      <c r="C7" s="1">
        <v>6.417</v>
      </c>
      <c r="E7" s="1">
        <v>210.976</v>
      </c>
      <c r="F7" s="1">
        <v>133.318</v>
      </c>
      <c r="G7" s="1">
        <v>111.885</v>
      </c>
      <c r="I7" s="1">
        <v>182.619</v>
      </c>
      <c r="J7" s="1">
        <v>116.777</v>
      </c>
      <c r="K7" s="1">
        <v>99.143</v>
      </c>
    </row>
    <row r="8">
      <c r="A8" s="1">
        <v>7.0</v>
      </c>
      <c r="B8" s="1">
        <v>7.383</v>
      </c>
      <c r="C8" s="1">
        <v>6.471</v>
      </c>
      <c r="E8" s="1">
        <v>144.466</v>
      </c>
      <c r="F8" s="1">
        <v>190.12</v>
      </c>
      <c r="G8" s="1">
        <v>202.262</v>
      </c>
      <c r="I8" s="1">
        <v>126.148</v>
      </c>
      <c r="J8" s="1">
        <v>165.598</v>
      </c>
      <c r="K8" s="1">
        <v>177.863</v>
      </c>
    </row>
    <row r="9">
      <c r="A9" s="1">
        <v>8.0</v>
      </c>
      <c r="B9" s="1">
        <v>7.692</v>
      </c>
      <c r="C9" s="1">
        <v>6.448</v>
      </c>
      <c r="E9" s="1">
        <v>188.875</v>
      </c>
      <c r="F9" s="1">
        <v>187.13</v>
      </c>
      <c r="G9" s="1">
        <v>142.905</v>
      </c>
      <c r="I9" s="1">
        <v>167.569</v>
      </c>
      <c r="J9" s="1">
        <v>169.009</v>
      </c>
      <c r="K9" s="1">
        <v>128.632</v>
      </c>
    </row>
    <row r="10">
      <c r="A10" s="1">
        <v>9.0</v>
      </c>
      <c r="B10" s="1">
        <v>7.598</v>
      </c>
      <c r="C10" s="1">
        <v>6.397</v>
      </c>
      <c r="E10" s="1">
        <v>185.494</v>
      </c>
      <c r="F10" s="1">
        <v>175.398</v>
      </c>
      <c r="G10" s="1">
        <v>160.311</v>
      </c>
      <c r="I10" s="1">
        <v>154.694</v>
      </c>
      <c r="J10" s="1">
        <v>165.57</v>
      </c>
      <c r="K10" s="1">
        <v>142.468</v>
      </c>
    </row>
    <row r="11">
      <c r="A11" s="1">
        <v>10.0</v>
      </c>
      <c r="B11" s="1">
        <v>7.946</v>
      </c>
      <c r="C11" s="1">
        <v>6.454</v>
      </c>
      <c r="E11" s="1">
        <v>218.316</v>
      </c>
      <c r="F11" s="1">
        <v>193.464</v>
      </c>
      <c r="G11" s="1">
        <v>143.311</v>
      </c>
      <c r="I11" s="1">
        <v>197.467</v>
      </c>
      <c r="J11" s="1">
        <v>173.489</v>
      </c>
      <c r="K11" s="1">
        <v>128.733</v>
      </c>
    </row>
  </sheetData>
  <drawing r:id="rId1"/>
</worksheet>
</file>