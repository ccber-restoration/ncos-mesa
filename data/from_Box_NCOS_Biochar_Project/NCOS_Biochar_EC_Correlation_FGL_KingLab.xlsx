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ber-admin\AppData\Local\Box\Box Edit\Documents\H1Y60j8rlEunaqc8_jM5Pw==\"/>
    </mc:Choice>
  </mc:AlternateContent>
  <bookViews>
    <workbookView xWindow="-120" yWindow="-120" windowWidth="29040" windowHeight="15990"/>
  </bookViews>
  <sheets>
    <sheet name="EC1to5_and_pH" sheetId="3" r:id="rId1"/>
    <sheet name="Sheet1" sheetId="1" r:id="rId2"/>
    <sheet name="Linear_Regression" sheetId="2" r:id="rId3"/>
  </sheets>
  <definedNames>
    <definedName name="_xlnm._FilterDatabase" localSheetId="0" hidden="1">EC1to5_and_pH!$A$1:$G$91</definedName>
    <definedName name="_xlnm._FilterDatabase" localSheetId="1" hidden="1">Sheet1!$A$1:$C$79</definedName>
    <definedName name="Date">#REF!</definedName>
    <definedName name="DrySoilTinWt">#REF!</definedName>
    <definedName name="DryWtDate">#REF!</definedName>
    <definedName name="Initials">#REF!</definedName>
    <definedName name="Notes">#REF!</definedName>
    <definedName name="_xlnm.Print_Titles" localSheetId="0">EC1to5_and_pH!$1:$1</definedName>
    <definedName name="RockTin">#REF!</definedName>
    <definedName name="RTinWt">#REF!</definedName>
    <definedName name="SampleID">#REF!</definedName>
    <definedName name="Tin">#REF!</definedName>
    <definedName name="TinRockWt">#REF!</definedName>
    <definedName name="TinWetSoil">#REF!</definedName>
    <definedName name="TinWt">#REF!</definedName>
    <definedName name="TotSample">#REF!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8" i="2" l="1"/>
  <c r="E20" i="2" l="1"/>
</calcChain>
</file>

<file path=xl/sharedStrings.xml><?xml version="1.0" encoding="utf-8"?>
<sst xmlns="http://schemas.openxmlformats.org/spreadsheetml/2006/main" count="262" uniqueCount="117">
  <si>
    <t>Sample ID</t>
  </si>
  <si>
    <t>EC 1:5 Ratio (µS)</t>
  </si>
  <si>
    <t>CP1_AH1_0_15</t>
  </si>
  <si>
    <t>CP1_AH1_15_30</t>
  </si>
  <si>
    <t>CP1_AH1_30_45</t>
  </si>
  <si>
    <t>CP1_AH1_45_60</t>
  </si>
  <si>
    <t>CP1_AH1_60_75</t>
  </si>
  <si>
    <t>CP1_AH1_75_90</t>
  </si>
  <si>
    <t>CP2_AH1_0_15</t>
  </si>
  <si>
    <t>CP2_AH1_15_30</t>
  </si>
  <si>
    <t>CP2_AH1_30_45</t>
  </si>
  <si>
    <t>CP2_AH1_45_60</t>
  </si>
  <si>
    <t>CP3_AH1_0_15</t>
  </si>
  <si>
    <t>CP3_AH1_15_30</t>
  </si>
  <si>
    <t>CP3_AH1_30_45</t>
  </si>
  <si>
    <t>CP3_AH1_45_60</t>
  </si>
  <si>
    <t>CP4_AH1_0_15</t>
  </si>
  <si>
    <t>CP4_AH1_15_30</t>
  </si>
  <si>
    <t>CP4_AH1_30_45</t>
  </si>
  <si>
    <t>CP4_AH1_45_60</t>
  </si>
  <si>
    <t>CP4_AH1_60_75</t>
  </si>
  <si>
    <t>CP5_AH1_0_15</t>
  </si>
  <si>
    <t>CP5_AH1_15_30</t>
  </si>
  <si>
    <t>CP5_AH1_30_45</t>
  </si>
  <si>
    <t>CP5_AH1_45_60</t>
  </si>
  <si>
    <t>CP5_AH1_60_75</t>
  </si>
  <si>
    <t>CP5_AH1_75_81</t>
  </si>
  <si>
    <t>CP6_AH1_0_15</t>
  </si>
  <si>
    <t>CP6_AH1_15_30</t>
  </si>
  <si>
    <t>CP6_AH1_30_45</t>
  </si>
  <si>
    <t>CP6_AH1_45_60</t>
  </si>
  <si>
    <t>CP6_AH1_60_75</t>
  </si>
  <si>
    <t>CP7_AH1_0_15</t>
  </si>
  <si>
    <t>CP7_AH1_15_30</t>
  </si>
  <si>
    <t>CP7_AH1_30_45</t>
  </si>
  <si>
    <t>CP7_AH1_45_60</t>
  </si>
  <si>
    <t>CP7_AH1_60_75</t>
  </si>
  <si>
    <t>CP7_AH1_75_80</t>
  </si>
  <si>
    <t>CP8_AH1_0_15</t>
  </si>
  <si>
    <t>CP8_AH1_15_30</t>
  </si>
  <si>
    <t>CP8_AH1_30_45</t>
  </si>
  <si>
    <t>CP8_AH1_45_60</t>
  </si>
  <si>
    <t>CP8_AH1_60_75</t>
  </si>
  <si>
    <t>CP8_AH1_75_80</t>
  </si>
  <si>
    <t>WP1_AH1_0_15</t>
  </si>
  <si>
    <t>WP1_AH1_30_45</t>
  </si>
  <si>
    <t>WP1_AH1_45_60</t>
  </si>
  <si>
    <t>WP1_AH1_60_75</t>
  </si>
  <si>
    <t>WP2_AH1_0_15</t>
  </si>
  <si>
    <t>WP2_AH1_15_30</t>
  </si>
  <si>
    <t>WP2_AH1_30_45</t>
  </si>
  <si>
    <t>WP2_AH1_45_60</t>
  </si>
  <si>
    <t>WP2_AH1_60_75</t>
  </si>
  <si>
    <t>WP3_AH1_0_15</t>
  </si>
  <si>
    <t>WP3_AH1_45_60</t>
  </si>
  <si>
    <t>WP3_AH1_75_90</t>
  </si>
  <si>
    <t>WP4_AH1_45_60</t>
  </si>
  <si>
    <t>WP5_AH1_0_15</t>
  </si>
  <si>
    <t>WP5_AH1_15_30</t>
  </si>
  <si>
    <t>WP5_AH1_30_45</t>
  </si>
  <si>
    <t>WP5_AH1_45_60</t>
  </si>
  <si>
    <t>WP5_AH1_60_75</t>
  </si>
  <si>
    <t>WP6_AH1_0_15</t>
  </si>
  <si>
    <t>WP6_AH1_15_30</t>
  </si>
  <si>
    <t>WP6_AH1_30_45</t>
  </si>
  <si>
    <t>WP6_AH1_45_60</t>
  </si>
  <si>
    <t>WP6_AH1_60_75</t>
  </si>
  <si>
    <t>WP6_AH1_75_90</t>
  </si>
  <si>
    <t>WP7_AH1_0_15</t>
  </si>
  <si>
    <t>WP7_AH1_15_30</t>
  </si>
  <si>
    <t>WP7_AH1_30_45</t>
  </si>
  <si>
    <t>WP7_AH1_45_60</t>
  </si>
  <si>
    <t>WP7_AH1_60_75</t>
  </si>
  <si>
    <t>WP7_AH1_75_90</t>
  </si>
  <si>
    <t>WP8_AH1_15_30</t>
  </si>
  <si>
    <t>WP8_AH1_30_45</t>
  </si>
  <si>
    <t>WP8_AH1_45_60</t>
  </si>
  <si>
    <t>WP8_AH1_60_75</t>
  </si>
  <si>
    <t>WP8_AH1_75_90</t>
  </si>
  <si>
    <t>FGL_Soil_Salinity_dS/m</t>
  </si>
  <si>
    <t>Output from R Linear Regression model:</t>
  </si>
  <si>
    <t>Residuals:</t>
  </si>
  <si>
    <t xml:space="preserve">    Min      1Q  Median      3Q     Max </t>
  </si>
  <si>
    <t xml:space="preserve">-3.4602 -1.1473 -0.5725  0.6276  5.8053 </t>
  </si>
  <si>
    <t>Coefficients:</t>
  </si>
  <si>
    <t xml:space="preserve">               Estimate Std. Error t value Pr(&gt;|t|)    </t>
  </si>
  <si>
    <t xml:space="preserve">(Intercept)   1.5669902  0.5866364   2.671   0.0134 *  </t>
  </si>
  <si>
    <t>EC_1to5_Ratio 0.0060527  0.0004374  13.838  6.2e-13 ***</t>
  </si>
  <si>
    <t>---</t>
  </si>
  <si>
    <t>Signif. codes:  0 ‘***’ 0.001 ‘**’ 0.01 ‘*’ 0.05 ‘.’ 0.1 ‘ ’ 1</t>
  </si>
  <si>
    <t>Residual standard error: 2.074 on 24 degrees of freedom</t>
  </si>
  <si>
    <t xml:space="preserve">Multiple R-squared:  0.8886,    Adjusted R-squared:  0.884 </t>
  </si>
  <si>
    <t>F-statistic: 191.5 on 1 and 24 DF,  p-value: 6.202e-13</t>
  </si>
  <si>
    <t>EC 1:5 Ratio (µS/cm)</t>
  </si>
  <si>
    <t>CP3_AH1_60_75</t>
  </si>
  <si>
    <t>Date</t>
  </si>
  <si>
    <t>Name</t>
  </si>
  <si>
    <t>Sub-Sample Weight (g)</t>
  </si>
  <si>
    <r>
      <t>EC 1:5 Ratio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S)</t>
    </r>
  </si>
  <si>
    <t>pH</t>
  </si>
  <si>
    <t>Notes</t>
  </si>
  <si>
    <t>CP2_AH1_60_75</t>
  </si>
  <si>
    <t>CP3_AH1_60_70</t>
  </si>
  <si>
    <t>Lori</t>
  </si>
  <si>
    <t>Lori + Zihan</t>
  </si>
  <si>
    <t>distinct layer separation</t>
  </si>
  <si>
    <t>WP1_AH1_15_30</t>
  </si>
  <si>
    <t>WP2_AH1_75_88</t>
  </si>
  <si>
    <t>WP3_AH1_15_30</t>
  </si>
  <si>
    <t>WP3_AH1_30_45</t>
  </si>
  <si>
    <t>WP3_AH1_60_75</t>
  </si>
  <si>
    <t>WP4_AH1_0_15</t>
  </si>
  <si>
    <t>WP4_AH1_15_30</t>
  </si>
  <si>
    <t>WP4_AH1_30_45</t>
  </si>
  <si>
    <t>WP4_AH1_60_75</t>
  </si>
  <si>
    <t>WP4_AH1_75_90</t>
  </si>
  <si>
    <t>WP8_AH1_0_15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</si>
</sst>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name val="Arial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/>
    <xf numFmtId="0" fontId="1" fillId="0" borderId="0" xfId="1" applyFont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Model</a:t>
            </a:r>
            <a:r>
              <a:rPr lang="en-US" baseline="0"/>
              <a:t> of FGL EC and 1to5 Ratio EC Method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Linear_Regression!$B$1</c:f>
              <c:strCache>
                <c:ptCount val="1"/>
                <c:pt idx="0">
                  <c:v>EC 1:5 Ratio (µS/cm)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649871715473767E-2"/>
                  <c:y val="0.28199074074074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Linear_Regression!$B$2:$B$27</c:f>
              <c:numCache>
                <c:formatCode>General</c:formatCode>
                <c:ptCount val="26"/>
                <c:pt idx="0">
                  <c:v>934</c:v>
                </c:pt>
                <c:pt idx="1">
                  <c:v>473.3</c:v>
                </c:pt>
                <c:pt idx="2">
                  <c:v>251.8</c:v>
                </c:pt>
                <c:pt idx="3">
                  <c:v>807.6</c:v>
                </c:pt>
                <c:pt idx="4">
                  <c:v>1524</c:v>
                </c:pt>
                <c:pt idx="5">
                  <c:v>510.5</c:v>
                </c:pt>
                <c:pt idx="6">
                  <c:v>450</c:v>
                </c:pt>
                <c:pt idx="7">
                  <c:v>912.3</c:v>
                </c:pt>
                <c:pt idx="8">
                  <c:v>2230</c:v>
                </c:pt>
                <c:pt idx="9">
                  <c:v>476.8</c:v>
                </c:pt>
                <c:pt idx="10">
                  <c:v>313.89999999999998</c:v>
                </c:pt>
                <c:pt idx="11">
                  <c:v>260.8</c:v>
                </c:pt>
                <c:pt idx="12">
                  <c:v>1095</c:v>
                </c:pt>
                <c:pt idx="13">
                  <c:v>2850</c:v>
                </c:pt>
                <c:pt idx="14">
                  <c:v>535.6</c:v>
                </c:pt>
                <c:pt idx="15">
                  <c:v>437.7</c:v>
                </c:pt>
                <c:pt idx="16">
                  <c:v>435.8</c:v>
                </c:pt>
                <c:pt idx="17">
                  <c:v>2270</c:v>
                </c:pt>
                <c:pt idx="18">
                  <c:v>4210</c:v>
                </c:pt>
                <c:pt idx="19">
                  <c:v>684.5</c:v>
                </c:pt>
                <c:pt idx="20">
                  <c:v>338</c:v>
                </c:pt>
                <c:pt idx="21">
                  <c:v>1243</c:v>
                </c:pt>
                <c:pt idx="22">
                  <c:v>275.10000000000002</c:v>
                </c:pt>
                <c:pt idx="23">
                  <c:v>524.5</c:v>
                </c:pt>
                <c:pt idx="24">
                  <c:v>673.8</c:v>
                </c:pt>
                <c:pt idx="25">
                  <c:v>412.7</c:v>
                </c:pt>
              </c:numCache>
            </c:numRef>
          </c:xVal>
          <c:yVal>
            <c:numRef>
              <c:f>Linear_Regression!$C$2:$C$27</c:f>
              <c:numCache>
                <c:formatCode>0.00</c:formatCode>
                <c:ptCount val="26"/>
                <c:pt idx="0">
                  <c:v>3.76</c:v>
                </c:pt>
                <c:pt idx="1">
                  <c:v>3.37</c:v>
                </c:pt>
                <c:pt idx="2">
                  <c:v>3.39</c:v>
                </c:pt>
                <c:pt idx="3">
                  <c:v>10.6</c:v>
                </c:pt>
                <c:pt idx="4">
                  <c:v>11.5</c:v>
                </c:pt>
                <c:pt idx="5">
                  <c:v>3.48</c:v>
                </c:pt>
                <c:pt idx="6">
                  <c:v>3.12</c:v>
                </c:pt>
                <c:pt idx="7">
                  <c:v>8.6999999999999993</c:v>
                </c:pt>
                <c:pt idx="8">
                  <c:v>14.8</c:v>
                </c:pt>
                <c:pt idx="9">
                  <c:v>3.59</c:v>
                </c:pt>
                <c:pt idx="10">
                  <c:v>2.39</c:v>
                </c:pt>
                <c:pt idx="11">
                  <c:v>2.21</c:v>
                </c:pt>
                <c:pt idx="12">
                  <c:v>14</c:v>
                </c:pt>
                <c:pt idx="13">
                  <c:v>16.8</c:v>
                </c:pt>
                <c:pt idx="14">
                  <c:v>4.18</c:v>
                </c:pt>
                <c:pt idx="15">
                  <c:v>3.7</c:v>
                </c:pt>
                <c:pt idx="16">
                  <c:v>4.8899999999999997</c:v>
                </c:pt>
                <c:pt idx="17">
                  <c:v>18.600000000000001</c:v>
                </c:pt>
                <c:pt idx="18">
                  <c:v>25</c:v>
                </c:pt>
                <c:pt idx="19">
                  <c:v>5</c:v>
                </c:pt>
                <c:pt idx="20">
                  <c:v>3.18</c:v>
                </c:pt>
                <c:pt idx="21">
                  <c:v>11.2</c:v>
                </c:pt>
                <c:pt idx="22">
                  <c:v>1.41</c:v>
                </c:pt>
                <c:pt idx="23">
                  <c:v>3.54</c:v>
                </c:pt>
                <c:pt idx="24">
                  <c:v>6.1</c:v>
                </c:pt>
                <c:pt idx="25">
                  <c:v>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D-4E75-96F6-448E0517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268112"/>
        <c:axId val="755270160"/>
      </c:scatterChart>
      <c:valAx>
        <c:axId val="75526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1to5 Ratio EC (µS/cm)</a:t>
                </a:r>
              </a:p>
            </c:rich>
          </c:tx>
          <c:layout>
            <c:manualLayout>
              <c:xMode val="edge"/>
              <c:yMode val="edge"/>
              <c:x val="0.40019147982442044"/>
              <c:y val="0.90390964378801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70160"/>
        <c:crosses val="autoZero"/>
        <c:crossBetween val="midCat"/>
      </c:valAx>
      <c:valAx>
        <c:axId val="755270160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FGL EC (dS/m)</a:t>
                </a:r>
              </a:p>
            </c:rich>
          </c:tx>
          <c:layout>
            <c:manualLayout>
              <c:xMode val="edge"/>
              <c:yMode val="edge"/>
              <c:x val="1.0741138560687433E-2"/>
              <c:y val="0.376770901030941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6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0</xdr:row>
      <xdr:rowOff>47625</xdr:rowOff>
    </xdr:from>
    <xdr:to>
      <xdr:col>14</xdr:col>
      <xdr:colOff>38100</xdr:colOff>
      <xdr:row>17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5.7109375" bestFit="1" customWidth="1"/>
    <col min="2" max="2" width="13.140625" customWidth="1"/>
    <col min="3" max="3" width="14.42578125" customWidth="1"/>
    <col min="4" max="4" width="15.140625" customWidth="1"/>
    <col min="5" max="5" width="15" style="14" customWidth="1"/>
    <col min="6" max="6" width="7.42578125" style="14" customWidth="1"/>
    <col min="7" max="7" width="45.5703125" customWidth="1"/>
  </cols>
  <sheetData>
    <row r="1" spans="1:7" ht="30" x14ac:dyDescent="0.25">
      <c r="A1" s="11" t="s">
        <v>0</v>
      </c>
      <c r="B1" s="12" t="s">
        <v>95</v>
      </c>
      <c r="C1" s="12" t="s">
        <v>96</v>
      </c>
      <c r="D1" s="13" t="s">
        <v>97</v>
      </c>
      <c r="E1" s="13" t="s">
        <v>98</v>
      </c>
      <c r="F1" s="12" t="s">
        <v>99</v>
      </c>
      <c r="G1" s="12" t="s">
        <v>100</v>
      </c>
    </row>
    <row r="2" spans="1:7" x14ac:dyDescent="0.25">
      <c r="A2" t="s">
        <v>2</v>
      </c>
    </row>
    <row r="3" spans="1:7" x14ac:dyDescent="0.25">
      <c r="A3" t="s">
        <v>3</v>
      </c>
    </row>
    <row r="4" spans="1:7" x14ac:dyDescent="0.25">
      <c r="A4" t="s">
        <v>4</v>
      </c>
    </row>
    <row r="5" spans="1:7" x14ac:dyDescent="0.25">
      <c r="A5" t="s">
        <v>5</v>
      </c>
    </row>
    <row r="6" spans="1:7" x14ac:dyDescent="0.25">
      <c r="A6" t="s">
        <v>6</v>
      </c>
    </row>
    <row r="7" spans="1:7" x14ac:dyDescent="0.25">
      <c r="A7" t="s">
        <v>7</v>
      </c>
    </row>
    <row r="8" spans="1:7" x14ac:dyDescent="0.25">
      <c r="A8" t="s">
        <v>8</v>
      </c>
    </row>
    <row r="9" spans="1:7" x14ac:dyDescent="0.25">
      <c r="A9" t="s">
        <v>9</v>
      </c>
    </row>
    <row r="10" spans="1:7" x14ac:dyDescent="0.25">
      <c r="A10" t="s">
        <v>10</v>
      </c>
    </row>
    <row r="11" spans="1:7" x14ac:dyDescent="0.25">
      <c r="A11" t="s">
        <v>11</v>
      </c>
    </row>
    <row r="12" spans="1:7" x14ac:dyDescent="0.25">
      <c r="A12" t="s">
        <v>101</v>
      </c>
    </row>
    <row r="13" spans="1:7" x14ac:dyDescent="0.25">
      <c r="A13" t="s">
        <v>12</v>
      </c>
    </row>
    <row r="14" spans="1:7" x14ac:dyDescent="0.25">
      <c r="A14" t="s">
        <v>13</v>
      </c>
    </row>
    <row r="15" spans="1:7" x14ac:dyDescent="0.25">
      <c r="A15" t="s">
        <v>14</v>
      </c>
    </row>
    <row r="16" spans="1:7" x14ac:dyDescent="0.25">
      <c r="A16" t="s">
        <v>15</v>
      </c>
    </row>
    <row r="17" spans="1:6" x14ac:dyDescent="0.25">
      <c r="A17" t="s">
        <v>102</v>
      </c>
    </row>
    <row r="18" spans="1:6" x14ac:dyDescent="0.25">
      <c r="A18" t="s">
        <v>16</v>
      </c>
    </row>
    <row r="19" spans="1:6" x14ac:dyDescent="0.25">
      <c r="A19" t="s">
        <v>17</v>
      </c>
    </row>
    <row r="20" spans="1:6" x14ac:dyDescent="0.25">
      <c r="A20" t="s">
        <v>18</v>
      </c>
    </row>
    <row r="21" spans="1:6" x14ac:dyDescent="0.25">
      <c r="A21" t="s">
        <v>19</v>
      </c>
    </row>
    <row r="22" spans="1:6" x14ac:dyDescent="0.25">
      <c r="A22" t="s">
        <v>20</v>
      </c>
    </row>
    <row r="23" spans="1:6" x14ac:dyDescent="0.25">
      <c r="A23" t="s">
        <v>21</v>
      </c>
    </row>
    <row r="24" spans="1:6" x14ac:dyDescent="0.25">
      <c r="A24" t="s">
        <v>22</v>
      </c>
      <c r="B24" s="15">
        <v>43319</v>
      </c>
      <c r="C24" t="s">
        <v>103</v>
      </c>
      <c r="D24">
        <v>5.0430000000000001</v>
      </c>
      <c r="E24" s="14">
        <v>934</v>
      </c>
      <c r="F24" s="14">
        <v>8.8000000000000007</v>
      </c>
    </row>
    <row r="25" spans="1:6" x14ac:dyDescent="0.25">
      <c r="A25" t="s">
        <v>23</v>
      </c>
      <c r="B25" s="15">
        <v>43318</v>
      </c>
      <c r="C25" t="s">
        <v>103</v>
      </c>
      <c r="D25">
        <v>5.0620000000000003</v>
      </c>
      <c r="E25" s="14">
        <v>473.3</v>
      </c>
      <c r="F25" s="14">
        <v>9.16</v>
      </c>
    </row>
    <row r="26" spans="1:6" x14ac:dyDescent="0.25">
      <c r="A26" t="s">
        <v>24</v>
      </c>
      <c r="B26" s="15">
        <v>43319</v>
      </c>
      <c r="C26" t="s">
        <v>103</v>
      </c>
      <c r="D26">
        <v>5.0510000000000002</v>
      </c>
      <c r="E26" s="14">
        <v>251.8</v>
      </c>
      <c r="F26" s="14">
        <v>9.25</v>
      </c>
    </row>
    <row r="27" spans="1:6" x14ac:dyDescent="0.25">
      <c r="A27" t="s">
        <v>25</v>
      </c>
      <c r="B27" s="15">
        <v>43319</v>
      </c>
      <c r="C27" t="s">
        <v>103</v>
      </c>
      <c r="D27">
        <v>4.9960000000000004</v>
      </c>
      <c r="E27" s="14">
        <v>807.6</v>
      </c>
      <c r="F27" s="14">
        <v>8.64</v>
      </c>
    </row>
    <row r="28" spans="1:6" x14ac:dyDescent="0.25">
      <c r="A28" t="s">
        <v>26</v>
      </c>
      <c r="B28" s="15">
        <v>43319</v>
      </c>
      <c r="C28" t="s">
        <v>103</v>
      </c>
      <c r="D28">
        <v>4.9450000000000003</v>
      </c>
      <c r="E28" s="14">
        <v>1524</v>
      </c>
      <c r="F28" s="14">
        <v>8.3699999999999992</v>
      </c>
    </row>
    <row r="29" spans="1:6" x14ac:dyDescent="0.25">
      <c r="A29" t="s">
        <v>27</v>
      </c>
    </row>
    <row r="30" spans="1:6" x14ac:dyDescent="0.25">
      <c r="A30" t="s">
        <v>28</v>
      </c>
      <c r="B30" s="15">
        <v>43319</v>
      </c>
      <c r="C30" t="s">
        <v>103</v>
      </c>
      <c r="D30">
        <v>5.0540000000000003</v>
      </c>
      <c r="E30" s="14">
        <v>510.5</v>
      </c>
      <c r="F30" s="14">
        <v>9.35</v>
      </c>
    </row>
    <row r="31" spans="1:6" x14ac:dyDescent="0.25">
      <c r="A31" t="s">
        <v>29</v>
      </c>
      <c r="B31" s="15">
        <v>43319</v>
      </c>
      <c r="C31" t="s">
        <v>103</v>
      </c>
      <c r="D31">
        <v>5.0529999999999999</v>
      </c>
      <c r="E31" s="14">
        <v>450</v>
      </c>
      <c r="F31" s="14">
        <v>9.31</v>
      </c>
    </row>
    <row r="32" spans="1:6" x14ac:dyDescent="0.25">
      <c r="A32" t="s">
        <v>30</v>
      </c>
      <c r="B32" s="15">
        <v>43318</v>
      </c>
      <c r="C32" t="s">
        <v>103</v>
      </c>
      <c r="D32">
        <v>4.9580000000000002</v>
      </c>
      <c r="E32" s="14">
        <v>912.3</v>
      </c>
      <c r="F32" s="14">
        <v>8.8000000000000007</v>
      </c>
    </row>
    <row r="33" spans="1:7" x14ac:dyDescent="0.25">
      <c r="A33" t="s">
        <v>31</v>
      </c>
      <c r="B33" s="15">
        <v>43314</v>
      </c>
      <c r="C33" t="s">
        <v>104</v>
      </c>
      <c r="D33">
        <v>5.1890000000000001</v>
      </c>
      <c r="E33" s="14">
        <v>2230</v>
      </c>
      <c r="F33" s="14">
        <v>8.0500000000000007</v>
      </c>
    </row>
    <row r="34" spans="1:7" x14ac:dyDescent="0.25">
      <c r="A34" t="s">
        <v>32</v>
      </c>
    </row>
    <row r="35" spans="1:7" x14ac:dyDescent="0.25">
      <c r="A35" t="s">
        <v>33</v>
      </c>
      <c r="B35" s="15">
        <v>43314</v>
      </c>
      <c r="C35" t="s">
        <v>104</v>
      </c>
      <c r="D35">
        <v>5.0750000000000002</v>
      </c>
      <c r="E35" s="14">
        <v>476.8</v>
      </c>
      <c r="F35" s="14">
        <v>8.81</v>
      </c>
    </row>
    <row r="36" spans="1:7" x14ac:dyDescent="0.25">
      <c r="A36" t="s">
        <v>34</v>
      </c>
      <c r="B36" s="15">
        <v>43319</v>
      </c>
      <c r="C36" t="s">
        <v>103</v>
      </c>
      <c r="D36">
        <v>5.0720000000000001</v>
      </c>
      <c r="E36" s="14">
        <v>313.89999999999998</v>
      </c>
      <c r="F36" s="14">
        <v>8.8800000000000008</v>
      </c>
    </row>
    <row r="37" spans="1:7" x14ac:dyDescent="0.25">
      <c r="A37" t="s">
        <v>35</v>
      </c>
      <c r="B37" s="15">
        <v>43318</v>
      </c>
      <c r="C37" t="s">
        <v>103</v>
      </c>
      <c r="D37">
        <v>5.0780000000000003</v>
      </c>
      <c r="E37" s="14">
        <v>260.8</v>
      </c>
      <c r="F37" s="14">
        <v>9.32</v>
      </c>
    </row>
    <row r="38" spans="1:7" x14ac:dyDescent="0.25">
      <c r="A38" t="s">
        <v>36</v>
      </c>
      <c r="B38" s="15">
        <v>43319</v>
      </c>
      <c r="C38" t="s">
        <v>103</v>
      </c>
      <c r="D38">
        <v>5.0410000000000004</v>
      </c>
      <c r="E38" s="14">
        <v>1095</v>
      </c>
      <c r="F38" s="14">
        <v>8.61</v>
      </c>
      <c r="G38" t="s">
        <v>105</v>
      </c>
    </row>
    <row r="39" spans="1:7" x14ac:dyDescent="0.25">
      <c r="A39" t="s">
        <v>37</v>
      </c>
      <c r="B39" s="15">
        <v>43319</v>
      </c>
      <c r="C39" t="s">
        <v>103</v>
      </c>
      <c r="D39">
        <v>5.0339999999999998</v>
      </c>
      <c r="E39" s="14">
        <v>2850</v>
      </c>
      <c r="F39" s="14">
        <v>8.42</v>
      </c>
      <c r="G39" t="s">
        <v>105</v>
      </c>
    </row>
    <row r="40" spans="1:7" x14ac:dyDescent="0.25">
      <c r="A40" t="s">
        <v>38</v>
      </c>
    </row>
    <row r="41" spans="1:7" x14ac:dyDescent="0.25">
      <c r="A41" t="s">
        <v>39</v>
      </c>
      <c r="B41" s="15">
        <v>43319</v>
      </c>
      <c r="C41" t="s">
        <v>103</v>
      </c>
      <c r="D41">
        <v>5.0209999999999999</v>
      </c>
      <c r="E41" s="14">
        <v>535.6</v>
      </c>
      <c r="F41" s="14">
        <v>9.02</v>
      </c>
    </row>
    <row r="42" spans="1:7" x14ac:dyDescent="0.25">
      <c r="A42" t="s">
        <v>40</v>
      </c>
      <c r="B42" s="15">
        <v>43319</v>
      </c>
      <c r="C42" t="s">
        <v>103</v>
      </c>
      <c r="D42">
        <v>5.05</v>
      </c>
      <c r="E42" s="14">
        <v>437.7</v>
      </c>
      <c r="F42" s="14">
        <v>9.4499999999999993</v>
      </c>
    </row>
    <row r="43" spans="1:7" x14ac:dyDescent="0.25">
      <c r="A43" t="s">
        <v>41</v>
      </c>
    </row>
    <row r="44" spans="1:7" x14ac:dyDescent="0.25">
      <c r="A44" t="s">
        <v>42</v>
      </c>
      <c r="B44" s="15">
        <v>43319</v>
      </c>
      <c r="C44" t="s">
        <v>103</v>
      </c>
      <c r="D44">
        <v>5.093</v>
      </c>
      <c r="E44" s="14">
        <v>2270</v>
      </c>
      <c r="F44" s="14">
        <v>8.4</v>
      </c>
      <c r="G44" t="s">
        <v>105</v>
      </c>
    </row>
    <row r="45" spans="1:7" x14ac:dyDescent="0.25">
      <c r="A45" t="s">
        <v>43</v>
      </c>
      <c r="B45" s="15">
        <v>43318</v>
      </c>
      <c r="C45" t="s">
        <v>103</v>
      </c>
      <c r="D45">
        <v>5.0190000000000001</v>
      </c>
      <c r="E45" s="14">
        <v>4210</v>
      </c>
      <c r="F45" s="14">
        <v>8.0299999999999994</v>
      </c>
      <c r="G45" t="s">
        <v>105</v>
      </c>
    </row>
    <row r="46" spans="1:7" x14ac:dyDescent="0.25">
      <c r="A46" t="s">
        <v>44</v>
      </c>
    </row>
    <row r="47" spans="1:7" x14ac:dyDescent="0.25">
      <c r="A47" t="s">
        <v>106</v>
      </c>
    </row>
    <row r="48" spans="1:7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107</v>
      </c>
    </row>
    <row r="57" spans="1:1" x14ac:dyDescent="0.25">
      <c r="A57" t="s">
        <v>53</v>
      </c>
    </row>
    <row r="58" spans="1:1" x14ac:dyDescent="0.25">
      <c r="A58" t="s">
        <v>108</v>
      </c>
    </row>
    <row r="59" spans="1:1" x14ac:dyDescent="0.25">
      <c r="A59" t="s">
        <v>109</v>
      </c>
    </row>
    <row r="60" spans="1:1" x14ac:dyDescent="0.25">
      <c r="A60" t="s">
        <v>54</v>
      </c>
    </row>
    <row r="61" spans="1:1" x14ac:dyDescent="0.25">
      <c r="A61" t="s">
        <v>110</v>
      </c>
    </row>
    <row r="62" spans="1:1" x14ac:dyDescent="0.25">
      <c r="A62" t="s">
        <v>55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6" x14ac:dyDescent="0.25">
      <c r="A65" t="s">
        <v>113</v>
      </c>
    </row>
    <row r="66" spans="1:6" x14ac:dyDescent="0.25">
      <c r="A66" t="s">
        <v>56</v>
      </c>
    </row>
    <row r="67" spans="1:6" x14ac:dyDescent="0.25">
      <c r="A67" t="s">
        <v>114</v>
      </c>
    </row>
    <row r="68" spans="1:6" x14ac:dyDescent="0.25">
      <c r="A68" t="s">
        <v>115</v>
      </c>
    </row>
    <row r="69" spans="1:6" x14ac:dyDescent="0.25">
      <c r="A69" t="s">
        <v>57</v>
      </c>
      <c r="B69" s="15">
        <v>43314</v>
      </c>
      <c r="C69" t="s">
        <v>104</v>
      </c>
      <c r="D69">
        <v>5.1319999999999997</v>
      </c>
      <c r="E69" s="14">
        <v>363.2</v>
      </c>
      <c r="F69" s="14">
        <v>9.0500000000000007</v>
      </c>
    </row>
    <row r="70" spans="1:6" x14ac:dyDescent="0.25">
      <c r="A70" t="s">
        <v>58</v>
      </c>
      <c r="B70" s="15">
        <v>43318</v>
      </c>
      <c r="C70" t="s">
        <v>103</v>
      </c>
      <c r="D70">
        <v>5.016</v>
      </c>
      <c r="E70" s="14">
        <v>684.5</v>
      </c>
      <c r="F70" s="14">
        <v>8.4</v>
      </c>
    </row>
    <row r="71" spans="1:6" x14ac:dyDescent="0.25">
      <c r="A71" t="s">
        <v>59</v>
      </c>
      <c r="B71" s="15">
        <v>43320</v>
      </c>
      <c r="C71" t="s">
        <v>103</v>
      </c>
      <c r="D71">
        <v>4.9989999999999997</v>
      </c>
      <c r="E71" s="14">
        <v>338</v>
      </c>
      <c r="F71" s="14">
        <v>8.31</v>
      </c>
    </row>
    <row r="72" spans="1:6" x14ac:dyDescent="0.25">
      <c r="A72" t="s">
        <v>60</v>
      </c>
      <c r="B72" s="15">
        <v>43318</v>
      </c>
      <c r="C72" t="s">
        <v>103</v>
      </c>
      <c r="D72">
        <v>5.0430000000000001</v>
      </c>
      <c r="E72" s="14">
        <v>651.20000000000005</v>
      </c>
      <c r="F72" s="14">
        <v>7.8</v>
      </c>
    </row>
    <row r="73" spans="1:6" x14ac:dyDescent="0.25">
      <c r="A73" t="s">
        <v>61</v>
      </c>
      <c r="B73" s="15">
        <v>43318</v>
      </c>
      <c r="C73" t="s">
        <v>103</v>
      </c>
      <c r="D73">
        <v>5.0369999999999999</v>
      </c>
      <c r="E73" s="14">
        <v>1336</v>
      </c>
      <c r="F73" s="14">
        <v>8.1</v>
      </c>
    </row>
    <row r="74" spans="1:6" x14ac:dyDescent="0.25">
      <c r="A74" t="s">
        <v>62</v>
      </c>
      <c r="B74" s="15">
        <v>43318</v>
      </c>
      <c r="C74" t="s">
        <v>103</v>
      </c>
      <c r="D74">
        <v>5.0259999999999998</v>
      </c>
      <c r="E74" s="14">
        <v>381.2</v>
      </c>
      <c r="F74" s="14">
        <v>9.09</v>
      </c>
    </row>
    <row r="75" spans="1:6" x14ac:dyDescent="0.25">
      <c r="A75" t="s">
        <v>63</v>
      </c>
      <c r="B75" s="15">
        <v>43320</v>
      </c>
      <c r="C75" t="s">
        <v>103</v>
      </c>
      <c r="D75">
        <v>5.0490000000000004</v>
      </c>
      <c r="E75" s="14">
        <v>624</v>
      </c>
      <c r="F75" s="14">
        <v>9</v>
      </c>
    </row>
    <row r="76" spans="1:6" x14ac:dyDescent="0.25">
      <c r="A76" t="s">
        <v>64</v>
      </c>
      <c r="B76" s="15">
        <v>43320</v>
      </c>
      <c r="C76" t="s">
        <v>103</v>
      </c>
      <c r="D76">
        <v>5.0030000000000001</v>
      </c>
      <c r="E76" s="14">
        <v>1250</v>
      </c>
      <c r="F76" s="14">
        <v>8</v>
      </c>
    </row>
    <row r="77" spans="1:6" x14ac:dyDescent="0.25">
      <c r="A77" t="s">
        <v>65</v>
      </c>
      <c r="B77" s="15">
        <v>43318</v>
      </c>
      <c r="C77" t="s">
        <v>103</v>
      </c>
      <c r="D77">
        <v>5.0389999999999997</v>
      </c>
      <c r="E77" s="14">
        <v>1091</v>
      </c>
      <c r="F77" s="14">
        <v>8.16</v>
      </c>
    </row>
    <row r="78" spans="1:6" x14ac:dyDescent="0.25">
      <c r="A78" t="s">
        <v>66</v>
      </c>
      <c r="B78" s="15">
        <v>43314</v>
      </c>
      <c r="C78" t="s">
        <v>104</v>
      </c>
      <c r="D78">
        <v>5.0010000000000003</v>
      </c>
      <c r="E78" s="14">
        <v>1129</v>
      </c>
      <c r="F78" s="14">
        <v>7.96</v>
      </c>
    </row>
    <row r="79" spans="1:6" x14ac:dyDescent="0.25">
      <c r="A79" t="s">
        <v>67</v>
      </c>
    </row>
    <row r="80" spans="1:6" x14ac:dyDescent="0.25">
      <c r="A80" t="s">
        <v>68</v>
      </c>
    </row>
    <row r="81" spans="1:7" x14ac:dyDescent="0.25">
      <c r="A81" t="s">
        <v>69</v>
      </c>
      <c r="B81" s="15">
        <v>43318</v>
      </c>
      <c r="C81" t="s">
        <v>103</v>
      </c>
      <c r="D81">
        <v>5.0640000000000001</v>
      </c>
      <c r="E81" s="14">
        <v>408.6</v>
      </c>
      <c r="F81" s="14">
        <v>9.15</v>
      </c>
    </row>
    <row r="82" spans="1:7" x14ac:dyDescent="0.25">
      <c r="A82" t="s">
        <v>70</v>
      </c>
    </row>
    <row r="83" spans="1:7" x14ac:dyDescent="0.25">
      <c r="A83" t="s">
        <v>71</v>
      </c>
      <c r="B83" s="15">
        <v>43314</v>
      </c>
      <c r="C83" t="s">
        <v>104</v>
      </c>
      <c r="D83">
        <v>5.0220000000000002</v>
      </c>
      <c r="E83" s="14">
        <v>1187</v>
      </c>
      <c r="F83" s="14">
        <v>8.07</v>
      </c>
    </row>
    <row r="84" spans="1:7" x14ac:dyDescent="0.25">
      <c r="A84" t="s">
        <v>72</v>
      </c>
      <c r="B84" s="15">
        <v>43318</v>
      </c>
      <c r="C84" t="s">
        <v>103</v>
      </c>
      <c r="D84">
        <v>4.9880000000000004</v>
      </c>
      <c r="E84" s="14">
        <v>930.6</v>
      </c>
      <c r="F84" s="14">
        <v>7.91</v>
      </c>
    </row>
    <row r="85" spans="1:7" x14ac:dyDescent="0.25">
      <c r="A85" t="s">
        <v>73</v>
      </c>
      <c r="B85" s="15">
        <v>43320</v>
      </c>
      <c r="C85" t="s">
        <v>103</v>
      </c>
      <c r="D85">
        <v>4.9880000000000004</v>
      </c>
      <c r="E85" s="14">
        <v>1243</v>
      </c>
      <c r="F85" s="14">
        <v>8.06</v>
      </c>
      <c r="G85" t="s">
        <v>105</v>
      </c>
    </row>
    <row r="86" spans="1:7" x14ac:dyDescent="0.25">
      <c r="A86" t="s">
        <v>116</v>
      </c>
    </row>
    <row r="87" spans="1:7" x14ac:dyDescent="0.25">
      <c r="A87" t="s">
        <v>74</v>
      </c>
      <c r="B87" s="15">
        <v>43320</v>
      </c>
      <c r="C87" t="s">
        <v>103</v>
      </c>
      <c r="D87">
        <v>5.0199999999999996</v>
      </c>
      <c r="E87" s="14">
        <v>275.10000000000002</v>
      </c>
      <c r="F87" s="14">
        <v>9.6300000000000008</v>
      </c>
    </row>
    <row r="88" spans="1:7" x14ac:dyDescent="0.25">
      <c r="A88" t="s">
        <v>75</v>
      </c>
      <c r="B88" s="15">
        <v>43320</v>
      </c>
      <c r="C88" t="s">
        <v>103</v>
      </c>
      <c r="D88">
        <v>5.08</v>
      </c>
      <c r="E88" s="14">
        <v>535.9</v>
      </c>
      <c r="F88" s="14">
        <v>9.1199999999999992</v>
      </c>
    </row>
    <row r="89" spans="1:7" x14ac:dyDescent="0.25">
      <c r="A89" t="s">
        <v>76</v>
      </c>
      <c r="B89" s="15">
        <v>43318</v>
      </c>
      <c r="C89" t="s">
        <v>103</v>
      </c>
      <c r="D89">
        <v>5.0739999999999998</v>
      </c>
      <c r="E89" s="14">
        <v>524.5</v>
      </c>
      <c r="F89" s="14">
        <v>8.56</v>
      </c>
    </row>
    <row r="90" spans="1:7" x14ac:dyDescent="0.25">
      <c r="A90" t="s">
        <v>77</v>
      </c>
      <c r="B90" s="15">
        <v>43320</v>
      </c>
      <c r="C90" t="s">
        <v>103</v>
      </c>
      <c r="D90">
        <v>5.0129999999999999</v>
      </c>
      <c r="E90" s="14">
        <v>673.8</v>
      </c>
      <c r="F90" s="14">
        <v>8.51</v>
      </c>
    </row>
    <row r="91" spans="1:7" x14ac:dyDescent="0.25">
      <c r="A91" t="s">
        <v>78</v>
      </c>
      <c r="B91" s="15">
        <v>43314</v>
      </c>
      <c r="C91" t="s">
        <v>104</v>
      </c>
      <c r="D91">
        <v>5.0019999999999998</v>
      </c>
      <c r="E91" s="14">
        <v>412.7</v>
      </c>
      <c r="F91" s="14">
        <v>8.91</v>
      </c>
    </row>
  </sheetData>
  <autoFilter ref="A1:G91"/>
  <printOptions gridLines="1"/>
  <pageMargins left="0.45" right="0.45" top="0.5" bottom="0.5" header="0.05" footer="0.0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85546875" defaultRowHeight="15" x14ac:dyDescent="0.25"/>
  <cols>
    <col min="1" max="1" width="15.7109375" bestFit="1" customWidth="1"/>
    <col min="2" max="2" width="16.7109375" bestFit="1" customWidth="1"/>
  </cols>
  <sheetData>
    <row r="1" spans="1:3" ht="39" x14ac:dyDescent="0.25">
      <c r="A1" t="s">
        <v>0</v>
      </c>
      <c r="B1" t="s">
        <v>1</v>
      </c>
      <c r="C1" s="10" t="s">
        <v>79</v>
      </c>
    </row>
    <row r="2" spans="1:3" x14ac:dyDescent="0.25">
      <c r="A2" t="s">
        <v>2</v>
      </c>
      <c r="B2">
        <v>363.3</v>
      </c>
      <c r="C2">
        <v>1.92</v>
      </c>
    </row>
    <row r="3" spans="1:3" x14ac:dyDescent="0.25">
      <c r="A3" t="s">
        <v>3</v>
      </c>
      <c r="B3">
        <v>554.5</v>
      </c>
      <c r="C3">
        <v>3.88</v>
      </c>
    </row>
    <row r="4" spans="1:3" x14ac:dyDescent="0.25">
      <c r="A4" t="s">
        <v>4</v>
      </c>
      <c r="B4">
        <v>611.1</v>
      </c>
      <c r="C4">
        <v>5.99</v>
      </c>
    </row>
    <row r="5" spans="1:3" x14ac:dyDescent="0.25">
      <c r="A5" t="s">
        <v>5</v>
      </c>
      <c r="B5">
        <v>287.7</v>
      </c>
      <c r="C5">
        <v>3.63</v>
      </c>
    </row>
    <row r="6" spans="1:3" x14ac:dyDescent="0.25">
      <c r="A6" t="s">
        <v>6</v>
      </c>
      <c r="B6">
        <v>2260</v>
      </c>
      <c r="C6">
        <v>17</v>
      </c>
    </row>
    <row r="7" spans="1:3" x14ac:dyDescent="0.25">
      <c r="A7" t="s">
        <v>7</v>
      </c>
      <c r="B7">
        <v>5060</v>
      </c>
      <c r="C7">
        <v>24.6</v>
      </c>
    </row>
    <row r="8" spans="1:3" x14ac:dyDescent="0.25">
      <c r="A8" t="s">
        <v>8</v>
      </c>
      <c r="B8">
        <v>664.6</v>
      </c>
      <c r="C8">
        <v>3.33</v>
      </c>
    </row>
    <row r="9" spans="1:3" x14ac:dyDescent="0.25">
      <c r="A9" t="s">
        <v>9</v>
      </c>
      <c r="B9">
        <v>582.1</v>
      </c>
      <c r="C9">
        <v>4.21</v>
      </c>
    </row>
    <row r="10" spans="1:3" x14ac:dyDescent="0.25">
      <c r="A10" t="s">
        <v>10</v>
      </c>
      <c r="B10">
        <v>332.2</v>
      </c>
      <c r="C10">
        <v>3.67</v>
      </c>
    </row>
    <row r="11" spans="1:3" x14ac:dyDescent="0.25">
      <c r="A11" t="s">
        <v>11</v>
      </c>
      <c r="B11">
        <v>382.3</v>
      </c>
      <c r="C11">
        <v>5.2</v>
      </c>
    </row>
    <row r="12" spans="1:3" x14ac:dyDescent="0.25">
      <c r="A12" t="s">
        <v>12</v>
      </c>
      <c r="B12">
        <v>668.4</v>
      </c>
      <c r="C12">
        <v>4</v>
      </c>
    </row>
    <row r="13" spans="1:3" x14ac:dyDescent="0.25">
      <c r="A13" t="s">
        <v>13</v>
      </c>
      <c r="B13">
        <v>719.6</v>
      </c>
      <c r="C13">
        <v>4.67</v>
      </c>
    </row>
    <row r="14" spans="1:3" x14ac:dyDescent="0.25">
      <c r="A14" t="s">
        <v>14</v>
      </c>
      <c r="B14">
        <v>387.1</v>
      </c>
      <c r="C14">
        <v>3.24</v>
      </c>
    </row>
    <row r="15" spans="1:3" x14ac:dyDescent="0.25">
      <c r="A15" t="s">
        <v>15</v>
      </c>
      <c r="B15">
        <v>740.3</v>
      </c>
      <c r="C15">
        <v>7.52</v>
      </c>
    </row>
    <row r="16" spans="1:3" x14ac:dyDescent="0.25">
      <c r="A16" t="s">
        <v>94</v>
      </c>
      <c r="B16">
        <v>2260</v>
      </c>
      <c r="C16">
        <v>16</v>
      </c>
    </row>
    <row r="17" spans="1:3" x14ac:dyDescent="0.25">
      <c r="A17" t="s">
        <v>16</v>
      </c>
      <c r="B17">
        <v>331.5</v>
      </c>
      <c r="C17">
        <v>2.61</v>
      </c>
    </row>
    <row r="18" spans="1:3" x14ac:dyDescent="0.25">
      <c r="A18" t="s">
        <v>17</v>
      </c>
      <c r="B18">
        <v>495.6</v>
      </c>
      <c r="C18">
        <v>3.88</v>
      </c>
    </row>
    <row r="19" spans="1:3" x14ac:dyDescent="0.25">
      <c r="A19" t="s">
        <v>18</v>
      </c>
      <c r="B19">
        <v>317.89999999999998</v>
      </c>
      <c r="C19">
        <v>3.47</v>
      </c>
    </row>
    <row r="20" spans="1:3" x14ac:dyDescent="0.25">
      <c r="A20" t="s">
        <v>19</v>
      </c>
      <c r="B20">
        <v>288.39999999999998</v>
      </c>
      <c r="C20">
        <v>5.16</v>
      </c>
    </row>
    <row r="21" spans="1:3" x14ac:dyDescent="0.25">
      <c r="A21" t="s">
        <v>20</v>
      </c>
      <c r="B21">
        <v>2140</v>
      </c>
      <c r="C21">
        <v>17.2</v>
      </c>
    </row>
    <row r="22" spans="1:3" x14ac:dyDescent="0.25">
      <c r="A22" t="s">
        <v>21</v>
      </c>
      <c r="B22">
        <v>595.79999999999995</v>
      </c>
      <c r="C22">
        <v>4.54</v>
      </c>
    </row>
    <row r="23" spans="1:3" x14ac:dyDescent="0.25">
      <c r="A23" t="s">
        <v>22</v>
      </c>
      <c r="B23">
        <v>934</v>
      </c>
      <c r="C23">
        <v>3.76</v>
      </c>
    </row>
    <row r="24" spans="1:3" x14ac:dyDescent="0.25">
      <c r="A24" t="s">
        <v>23</v>
      </c>
      <c r="B24">
        <v>473.3</v>
      </c>
      <c r="C24">
        <v>3.37</v>
      </c>
    </row>
    <row r="25" spans="1:3" x14ac:dyDescent="0.25">
      <c r="A25" t="s">
        <v>24</v>
      </c>
      <c r="B25">
        <v>251.8</v>
      </c>
      <c r="C25">
        <v>3.39</v>
      </c>
    </row>
    <row r="26" spans="1:3" x14ac:dyDescent="0.25">
      <c r="A26" t="s">
        <v>25</v>
      </c>
      <c r="B26">
        <v>807.6</v>
      </c>
      <c r="C26">
        <v>10.6</v>
      </c>
    </row>
    <row r="27" spans="1:3" x14ac:dyDescent="0.25">
      <c r="A27" t="s">
        <v>26</v>
      </c>
      <c r="B27">
        <v>1524</v>
      </c>
      <c r="C27">
        <v>11.5</v>
      </c>
    </row>
    <row r="28" spans="1:3" x14ac:dyDescent="0.25">
      <c r="A28" t="s">
        <v>27</v>
      </c>
      <c r="B28">
        <v>580.70000000000005</v>
      </c>
      <c r="C28">
        <v>3.82</v>
      </c>
    </row>
    <row r="29" spans="1:3" x14ac:dyDescent="0.25">
      <c r="A29" t="s">
        <v>28</v>
      </c>
      <c r="B29">
        <v>510.5</v>
      </c>
      <c r="C29">
        <v>3.48</v>
      </c>
    </row>
    <row r="30" spans="1:3" x14ac:dyDescent="0.25">
      <c r="A30" t="s">
        <v>29</v>
      </c>
      <c r="B30">
        <v>450</v>
      </c>
      <c r="C30">
        <v>3.12</v>
      </c>
    </row>
    <row r="31" spans="1:3" x14ac:dyDescent="0.25">
      <c r="A31" t="s">
        <v>30</v>
      </c>
      <c r="B31">
        <v>912.3</v>
      </c>
      <c r="C31">
        <v>8.6999999999999993</v>
      </c>
    </row>
    <row r="32" spans="1:3" x14ac:dyDescent="0.25">
      <c r="A32" t="s">
        <v>31</v>
      </c>
      <c r="B32">
        <v>2230</v>
      </c>
      <c r="C32">
        <v>14.8</v>
      </c>
    </row>
    <row r="33" spans="1:3" x14ac:dyDescent="0.25">
      <c r="A33" t="s">
        <v>32</v>
      </c>
      <c r="B33">
        <v>455.4</v>
      </c>
      <c r="C33">
        <v>3.63</v>
      </c>
    </row>
    <row r="34" spans="1:3" x14ac:dyDescent="0.25">
      <c r="A34" t="s">
        <v>33</v>
      </c>
      <c r="B34">
        <v>476.8</v>
      </c>
      <c r="C34">
        <v>3.59</v>
      </c>
    </row>
    <row r="35" spans="1:3" x14ac:dyDescent="0.25">
      <c r="A35" t="s">
        <v>34</v>
      </c>
      <c r="B35">
        <v>313.89999999999998</v>
      </c>
      <c r="C35">
        <v>2.39</v>
      </c>
    </row>
    <row r="36" spans="1:3" x14ac:dyDescent="0.25">
      <c r="A36" t="s">
        <v>35</v>
      </c>
      <c r="B36">
        <v>260.8</v>
      </c>
      <c r="C36">
        <v>2.21</v>
      </c>
    </row>
    <row r="37" spans="1:3" x14ac:dyDescent="0.25">
      <c r="A37" t="s">
        <v>36</v>
      </c>
      <c r="B37">
        <v>1095</v>
      </c>
      <c r="C37">
        <v>14</v>
      </c>
    </row>
    <row r="38" spans="1:3" x14ac:dyDescent="0.25">
      <c r="A38" t="s">
        <v>37</v>
      </c>
      <c r="B38">
        <v>2850</v>
      </c>
      <c r="C38">
        <v>16.8</v>
      </c>
    </row>
    <row r="39" spans="1:3" x14ac:dyDescent="0.25">
      <c r="A39" t="s">
        <v>38</v>
      </c>
      <c r="B39">
        <v>453.1</v>
      </c>
      <c r="C39">
        <v>4.05</v>
      </c>
    </row>
    <row r="40" spans="1:3" x14ac:dyDescent="0.25">
      <c r="A40" t="s">
        <v>39</v>
      </c>
      <c r="B40">
        <v>535.6</v>
      </c>
      <c r="C40">
        <v>4.18</v>
      </c>
    </row>
    <row r="41" spans="1:3" x14ac:dyDescent="0.25">
      <c r="A41" t="s">
        <v>40</v>
      </c>
      <c r="B41">
        <v>437.7</v>
      </c>
      <c r="C41">
        <v>3.7</v>
      </c>
    </row>
    <row r="42" spans="1:3" x14ac:dyDescent="0.25">
      <c r="A42" t="s">
        <v>41</v>
      </c>
      <c r="B42">
        <v>435.8</v>
      </c>
      <c r="C42">
        <v>4.8899999999999997</v>
      </c>
    </row>
    <row r="43" spans="1:3" x14ac:dyDescent="0.25">
      <c r="A43" t="s">
        <v>42</v>
      </c>
      <c r="B43">
        <v>2270</v>
      </c>
      <c r="C43">
        <v>18.600000000000001</v>
      </c>
    </row>
    <row r="44" spans="1:3" x14ac:dyDescent="0.25">
      <c r="A44" t="s">
        <v>43</v>
      </c>
      <c r="B44">
        <v>4210</v>
      </c>
      <c r="C44">
        <v>25</v>
      </c>
    </row>
    <row r="45" spans="1:3" x14ac:dyDescent="0.25">
      <c r="A45" t="s">
        <v>44</v>
      </c>
      <c r="B45">
        <v>487.6</v>
      </c>
      <c r="C45">
        <v>2.56</v>
      </c>
    </row>
    <row r="46" spans="1:3" x14ac:dyDescent="0.25">
      <c r="A46" t="s">
        <v>45</v>
      </c>
      <c r="B46">
        <v>680.2</v>
      </c>
      <c r="C46">
        <v>5.0199999999999996</v>
      </c>
    </row>
    <row r="47" spans="1:3" x14ac:dyDescent="0.25">
      <c r="A47" t="s">
        <v>46</v>
      </c>
      <c r="B47">
        <v>1079</v>
      </c>
      <c r="C47">
        <v>9.99</v>
      </c>
    </row>
    <row r="48" spans="1:3" x14ac:dyDescent="0.25">
      <c r="A48" t="s">
        <v>47</v>
      </c>
      <c r="B48">
        <v>2090</v>
      </c>
      <c r="C48">
        <v>14.2</v>
      </c>
    </row>
    <row r="49" spans="1:3" x14ac:dyDescent="0.25">
      <c r="A49" t="s">
        <v>48</v>
      </c>
      <c r="B49">
        <v>350.9</v>
      </c>
      <c r="C49">
        <v>1.75</v>
      </c>
    </row>
    <row r="50" spans="1:3" x14ac:dyDescent="0.25">
      <c r="A50" t="s">
        <v>49</v>
      </c>
      <c r="B50">
        <v>671.4</v>
      </c>
      <c r="C50">
        <v>3.76</v>
      </c>
    </row>
    <row r="51" spans="1:3" x14ac:dyDescent="0.25">
      <c r="A51" t="s">
        <v>50</v>
      </c>
      <c r="B51">
        <v>1278</v>
      </c>
      <c r="C51">
        <v>8.19</v>
      </c>
    </row>
    <row r="52" spans="1:3" x14ac:dyDescent="0.25">
      <c r="A52" t="s">
        <v>51</v>
      </c>
      <c r="B52">
        <v>1778</v>
      </c>
      <c r="C52">
        <v>16.7</v>
      </c>
    </row>
    <row r="53" spans="1:3" x14ac:dyDescent="0.25">
      <c r="A53" t="s">
        <v>52</v>
      </c>
      <c r="B53">
        <v>1610</v>
      </c>
      <c r="C53">
        <v>12.3</v>
      </c>
    </row>
    <row r="54" spans="1:3" x14ac:dyDescent="0.25">
      <c r="A54" t="s">
        <v>53</v>
      </c>
      <c r="B54">
        <v>429.8</v>
      </c>
      <c r="C54">
        <v>1.96</v>
      </c>
    </row>
    <row r="55" spans="1:3" x14ac:dyDescent="0.25">
      <c r="A55" t="s">
        <v>54</v>
      </c>
      <c r="B55">
        <v>1425</v>
      </c>
      <c r="C55">
        <v>10.5</v>
      </c>
    </row>
    <row r="56" spans="1:3" x14ac:dyDescent="0.25">
      <c r="A56" t="s">
        <v>55</v>
      </c>
      <c r="B56">
        <v>1662</v>
      </c>
      <c r="C56">
        <v>12.3</v>
      </c>
    </row>
    <row r="57" spans="1:3" x14ac:dyDescent="0.25">
      <c r="A57" t="s">
        <v>56</v>
      </c>
      <c r="B57">
        <v>1111</v>
      </c>
      <c r="C57">
        <v>8.2200000000000006</v>
      </c>
    </row>
    <row r="58" spans="1:3" x14ac:dyDescent="0.25">
      <c r="A58" t="s">
        <v>57</v>
      </c>
      <c r="B58">
        <v>363.2</v>
      </c>
      <c r="C58">
        <v>3.57</v>
      </c>
    </row>
    <row r="59" spans="1:3" x14ac:dyDescent="0.25">
      <c r="A59" t="s">
        <v>58</v>
      </c>
      <c r="B59">
        <v>684.5</v>
      </c>
      <c r="C59">
        <v>5</v>
      </c>
    </row>
    <row r="60" spans="1:3" x14ac:dyDescent="0.25">
      <c r="A60" t="s">
        <v>59</v>
      </c>
      <c r="B60">
        <v>338</v>
      </c>
      <c r="C60">
        <v>3.18</v>
      </c>
    </row>
    <row r="61" spans="1:3" x14ac:dyDescent="0.25">
      <c r="A61" t="s">
        <v>60</v>
      </c>
      <c r="B61">
        <v>651.20000000000005</v>
      </c>
      <c r="C61">
        <v>6.23</v>
      </c>
    </row>
    <row r="62" spans="1:3" x14ac:dyDescent="0.25">
      <c r="A62" t="s">
        <v>61</v>
      </c>
      <c r="B62">
        <v>1336</v>
      </c>
      <c r="C62">
        <v>8.25</v>
      </c>
    </row>
    <row r="63" spans="1:3" x14ac:dyDescent="0.25">
      <c r="A63" t="s">
        <v>62</v>
      </c>
      <c r="B63">
        <v>381.2</v>
      </c>
      <c r="C63">
        <v>2.61</v>
      </c>
    </row>
    <row r="64" spans="1:3" x14ac:dyDescent="0.25">
      <c r="A64" t="s">
        <v>63</v>
      </c>
      <c r="B64">
        <v>624</v>
      </c>
      <c r="C64">
        <v>4.7699999999999996</v>
      </c>
    </row>
    <row r="65" spans="1:3" x14ac:dyDescent="0.25">
      <c r="A65" t="s">
        <v>64</v>
      </c>
      <c r="B65">
        <v>1250</v>
      </c>
      <c r="C65">
        <v>10</v>
      </c>
    </row>
    <row r="66" spans="1:3" x14ac:dyDescent="0.25">
      <c r="A66" t="s">
        <v>65</v>
      </c>
      <c r="B66">
        <v>1090</v>
      </c>
      <c r="C66">
        <v>9.85</v>
      </c>
    </row>
    <row r="67" spans="1:3" x14ac:dyDescent="0.25">
      <c r="A67" t="s">
        <v>66</v>
      </c>
      <c r="B67">
        <v>1129</v>
      </c>
      <c r="C67">
        <v>10.8</v>
      </c>
    </row>
    <row r="68" spans="1:3" x14ac:dyDescent="0.25">
      <c r="A68" t="s">
        <v>67</v>
      </c>
      <c r="B68">
        <v>1326</v>
      </c>
      <c r="C68">
        <v>9.5500000000000007</v>
      </c>
    </row>
    <row r="69" spans="1:3" x14ac:dyDescent="0.25">
      <c r="A69" t="s">
        <v>68</v>
      </c>
      <c r="B69">
        <v>265.60000000000002</v>
      </c>
      <c r="C69">
        <v>2.08</v>
      </c>
    </row>
    <row r="70" spans="1:3" x14ac:dyDescent="0.25">
      <c r="A70" t="s">
        <v>69</v>
      </c>
      <c r="B70">
        <v>408.6</v>
      </c>
      <c r="C70">
        <v>3.16</v>
      </c>
    </row>
    <row r="71" spans="1:3" x14ac:dyDescent="0.25">
      <c r="A71" t="s">
        <v>70</v>
      </c>
      <c r="B71">
        <v>446.8</v>
      </c>
      <c r="C71">
        <v>3.47</v>
      </c>
    </row>
    <row r="72" spans="1:3" x14ac:dyDescent="0.25">
      <c r="A72" t="s">
        <v>71</v>
      </c>
      <c r="B72">
        <v>1187</v>
      </c>
      <c r="C72">
        <v>9.4700000000000006</v>
      </c>
    </row>
    <row r="73" spans="1:3" x14ac:dyDescent="0.25">
      <c r="A73" t="s">
        <v>72</v>
      </c>
      <c r="B73">
        <v>930.6</v>
      </c>
      <c r="C73">
        <v>8.4499999999999993</v>
      </c>
    </row>
    <row r="74" spans="1:3" x14ac:dyDescent="0.25">
      <c r="A74" t="s">
        <v>73</v>
      </c>
      <c r="B74">
        <v>1243</v>
      </c>
      <c r="C74">
        <v>11.2</v>
      </c>
    </row>
    <row r="75" spans="1:3" x14ac:dyDescent="0.25">
      <c r="A75" t="s">
        <v>74</v>
      </c>
      <c r="B75">
        <v>275.10000000000002</v>
      </c>
      <c r="C75">
        <v>1.41</v>
      </c>
    </row>
    <row r="76" spans="1:3" x14ac:dyDescent="0.25">
      <c r="A76" t="s">
        <v>75</v>
      </c>
      <c r="B76">
        <v>535.9</v>
      </c>
      <c r="C76">
        <v>3.81</v>
      </c>
    </row>
    <row r="77" spans="1:3" x14ac:dyDescent="0.25">
      <c r="A77" t="s">
        <v>76</v>
      </c>
      <c r="B77">
        <v>524.5</v>
      </c>
      <c r="C77">
        <v>3.54</v>
      </c>
    </row>
    <row r="78" spans="1:3" x14ac:dyDescent="0.25">
      <c r="A78" t="s">
        <v>77</v>
      </c>
      <c r="B78">
        <v>673.8</v>
      </c>
      <c r="C78">
        <v>6.1</v>
      </c>
    </row>
    <row r="79" spans="1:3" x14ac:dyDescent="0.25">
      <c r="A79" t="s">
        <v>78</v>
      </c>
      <c r="B79">
        <v>412.7</v>
      </c>
      <c r="C79">
        <v>4.34</v>
      </c>
    </row>
  </sheetData>
  <autoFilter ref="A1:C79"/>
  <sortState ref="A2:B1048473">
    <sortCondition ref="A2:A10484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Q11" sqref="Q11"/>
    </sheetView>
  </sheetViews>
  <sheetFormatPr defaultColWidth="8.85546875" defaultRowHeight="15" x14ac:dyDescent="0.25"/>
  <cols>
    <col min="1" max="1" width="18" customWidth="1"/>
    <col min="3" max="3" width="9.7109375" customWidth="1"/>
    <col min="6" max="6" width="9.140625" bestFit="1" customWidth="1"/>
  </cols>
  <sheetData>
    <row r="1" spans="1:3" ht="45" x14ac:dyDescent="0.25">
      <c r="A1" s="2" t="s">
        <v>0</v>
      </c>
      <c r="B1" s="8" t="s">
        <v>93</v>
      </c>
      <c r="C1" s="2" t="s">
        <v>79</v>
      </c>
    </row>
    <row r="2" spans="1:3" x14ac:dyDescent="0.25">
      <c r="A2" s="1" t="s">
        <v>22</v>
      </c>
      <c r="B2" s="3">
        <v>934</v>
      </c>
      <c r="C2" s="4">
        <v>3.76</v>
      </c>
    </row>
    <row r="3" spans="1:3" x14ac:dyDescent="0.25">
      <c r="A3" s="1" t="s">
        <v>23</v>
      </c>
      <c r="B3" s="3">
        <v>473.3</v>
      </c>
      <c r="C3" s="4">
        <v>3.37</v>
      </c>
    </row>
    <row r="4" spans="1:3" x14ac:dyDescent="0.25">
      <c r="A4" s="1" t="s">
        <v>24</v>
      </c>
      <c r="B4" s="3">
        <v>251.8</v>
      </c>
      <c r="C4" s="4">
        <v>3.39</v>
      </c>
    </row>
    <row r="5" spans="1:3" x14ac:dyDescent="0.25">
      <c r="A5" s="1" t="s">
        <v>25</v>
      </c>
      <c r="B5" s="3">
        <v>807.6</v>
      </c>
      <c r="C5" s="4">
        <v>10.6</v>
      </c>
    </row>
    <row r="6" spans="1:3" x14ac:dyDescent="0.25">
      <c r="A6" s="1" t="s">
        <v>26</v>
      </c>
      <c r="B6" s="3">
        <v>1524</v>
      </c>
      <c r="C6" s="4">
        <v>11.5</v>
      </c>
    </row>
    <row r="7" spans="1:3" x14ac:dyDescent="0.25">
      <c r="A7" s="1" t="s">
        <v>28</v>
      </c>
      <c r="B7" s="3">
        <v>510.5</v>
      </c>
      <c r="C7" s="4">
        <v>3.48</v>
      </c>
    </row>
    <row r="8" spans="1:3" x14ac:dyDescent="0.25">
      <c r="A8" s="1" t="s">
        <v>29</v>
      </c>
      <c r="B8" s="3">
        <v>450</v>
      </c>
      <c r="C8" s="4">
        <v>3.12</v>
      </c>
    </row>
    <row r="9" spans="1:3" x14ac:dyDescent="0.25">
      <c r="A9" s="1" t="s">
        <v>30</v>
      </c>
      <c r="B9" s="3">
        <v>912.3</v>
      </c>
      <c r="C9" s="4">
        <v>8.6999999999999993</v>
      </c>
    </row>
    <row r="10" spans="1:3" x14ac:dyDescent="0.25">
      <c r="A10" s="1" t="s">
        <v>31</v>
      </c>
      <c r="B10" s="3">
        <v>2230</v>
      </c>
      <c r="C10" s="4">
        <v>14.8</v>
      </c>
    </row>
    <row r="11" spans="1:3" x14ac:dyDescent="0.25">
      <c r="A11" s="1" t="s">
        <v>33</v>
      </c>
      <c r="B11" s="3">
        <v>476.8</v>
      </c>
      <c r="C11" s="4">
        <v>3.59</v>
      </c>
    </row>
    <row r="12" spans="1:3" x14ac:dyDescent="0.25">
      <c r="A12" s="1" t="s">
        <v>34</v>
      </c>
      <c r="B12" s="3">
        <v>313.89999999999998</v>
      </c>
      <c r="C12" s="4">
        <v>2.39</v>
      </c>
    </row>
    <row r="13" spans="1:3" x14ac:dyDescent="0.25">
      <c r="A13" s="1" t="s">
        <v>35</v>
      </c>
      <c r="B13" s="3">
        <v>260.8</v>
      </c>
      <c r="C13" s="4">
        <v>2.21</v>
      </c>
    </row>
    <row r="14" spans="1:3" x14ac:dyDescent="0.25">
      <c r="A14" s="1" t="s">
        <v>36</v>
      </c>
      <c r="B14" s="3">
        <v>1095</v>
      </c>
      <c r="C14" s="4">
        <v>14</v>
      </c>
    </row>
    <row r="15" spans="1:3" x14ac:dyDescent="0.25">
      <c r="A15" s="1" t="s">
        <v>37</v>
      </c>
      <c r="B15" s="3">
        <v>2850</v>
      </c>
      <c r="C15" s="4">
        <v>16.8</v>
      </c>
    </row>
    <row r="16" spans="1:3" x14ac:dyDescent="0.25">
      <c r="A16" s="1" t="s">
        <v>39</v>
      </c>
      <c r="B16" s="3">
        <v>535.6</v>
      </c>
      <c r="C16" s="4">
        <v>4.18</v>
      </c>
    </row>
    <row r="17" spans="1:14" x14ac:dyDescent="0.25">
      <c r="A17" s="1" t="s">
        <v>40</v>
      </c>
      <c r="B17" s="3">
        <v>437.7</v>
      </c>
      <c r="C17" s="4">
        <v>3.7</v>
      </c>
    </row>
    <row r="18" spans="1:14" x14ac:dyDescent="0.25">
      <c r="A18" s="1" t="s">
        <v>41</v>
      </c>
      <c r="B18" s="3">
        <v>435.8</v>
      </c>
      <c r="C18" s="4">
        <v>4.8899999999999997</v>
      </c>
    </row>
    <row r="19" spans="1:14" x14ac:dyDescent="0.25">
      <c r="A19" s="1" t="s">
        <v>42</v>
      </c>
      <c r="B19" s="3">
        <v>2270</v>
      </c>
      <c r="C19" s="4">
        <v>18.600000000000001</v>
      </c>
      <c r="G19" s="9" t="s">
        <v>80</v>
      </c>
      <c r="H19" s="9"/>
      <c r="I19" s="9"/>
      <c r="J19" s="9"/>
      <c r="K19" s="9"/>
      <c r="L19" s="9"/>
      <c r="M19" s="9"/>
      <c r="N19" s="9"/>
    </row>
    <row r="20" spans="1:14" x14ac:dyDescent="0.25">
      <c r="A20" s="1" t="s">
        <v>43</v>
      </c>
      <c r="B20" s="3">
        <v>4210</v>
      </c>
      <c r="C20" s="4">
        <v>25</v>
      </c>
      <c r="E20">
        <f>LINEST(C2:C27,B2:B27,,TRUE)</f>
        <v>6.0526867696553532E-3</v>
      </c>
      <c r="G20" s="6" t="s">
        <v>81</v>
      </c>
    </row>
    <row r="21" spans="1:14" x14ac:dyDescent="0.25">
      <c r="A21" s="1" t="s">
        <v>58</v>
      </c>
      <c r="B21" s="3">
        <v>684.5</v>
      </c>
      <c r="C21" s="4">
        <v>5</v>
      </c>
      <c r="G21" s="6" t="s">
        <v>82</v>
      </c>
    </row>
    <row r="22" spans="1:14" x14ac:dyDescent="0.25">
      <c r="A22" s="1" t="s">
        <v>59</v>
      </c>
      <c r="B22" s="3">
        <v>338</v>
      </c>
      <c r="C22" s="4">
        <v>3.18</v>
      </c>
      <c r="G22" s="6" t="s">
        <v>83</v>
      </c>
    </row>
    <row r="23" spans="1:14" x14ac:dyDescent="0.25">
      <c r="A23" s="1" t="s">
        <v>73</v>
      </c>
      <c r="B23" s="3">
        <v>1243</v>
      </c>
      <c r="C23" s="4">
        <v>11.2</v>
      </c>
      <c r="G23" s="5"/>
    </row>
    <row r="24" spans="1:14" x14ac:dyDescent="0.25">
      <c r="A24" s="1" t="s">
        <v>74</v>
      </c>
      <c r="B24" s="3">
        <v>275.10000000000002</v>
      </c>
      <c r="C24" s="4">
        <v>1.41</v>
      </c>
      <c r="G24" s="6" t="s">
        <v>84</v>
      </c>
    </row>
    <row r="25" spans="1:14" x14ac:dyDescent="0.25">
      <c r="A25" s="1" t="s">
        <v>76</v>
      </c>
      <c r="B25" s="3">
        <v>524.5</v>
      </c>
      <c r="C25" s="4">
        <v>3.54</v>
      </c>
      <c r="G25" s="6" t="s">
        <v>85</v>
      </c>
    </row>
    <row r="26" spans="1:14" x14ac:dyDescent="0.25">
      <c r="A26" s="1" t="s">
        <v>77</v>
      </c>
      <c r="B26" s="3">
        <v>673.8</v>
      </c>
      <c r="C26" s="4">
        <v>6.1</v>
      </c>
      <c r="G26" s="6" t="s">
        <v>86</v>
      </c>
    </row>
    <row r="27" spans="1:14" x14ac:dyDescent="0.25">
      <c r="A27" s="1" t="s">
        <v>78</v>
      </c>
      <c r="B27" s="3">
        <v>412.7</v>
      </c>
      <c r="C27" s="4">
        <v>4.34</v>
      </c>
      <c r="G27" s="6" t="s">
        <v>87</v>
      </c>
    </row>
    <row r="28" spans="1:14" x14ac:dyDescent="0.25">
      <c r="C28" t="e">
        <f>CORREL(#REF!,C2:C27)</f>
        <v>#REF!</v>
      </c>
      <c r="G28" s="6" t="s">
        <v>88</v>
      </c>
    </row>
    <row r="29" spans="1:14" x14ac:dyDescent="0.25">
      <c r="G29" s="6" t="s">
        <v>89</v>
      </c>
    </row>
    <row r="30" spans="1:14" x14ac:dyDescent="0.25">
      <c r="G30" s="5"/>
    </row>
    <row r="31" spans="1:14" x14ac:dyDescent="0.25">
      <c r="G31" s="6" t="s">
        <v>90</v>
      </c>
    </row>
    <row r="32" spans="1:14" x14ac:dyDescent="0.25">
      <c r="G32" s="6" t="s">
        <v>91</v>
      </c>
    </row>
    <row r="33" spans="7:7" x14ac:dyDescent="0.25">
      <c r="G33" s="7" t="s">
        <v>92</v>
      </c>
    </row>
  </sheetData>
  <sortState ref="A2:C27">
    <sortCondition ref="A2:A27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EC1to5_and_pH</vt:lpstr>
      <vt:lpstr>Sheet1</vt:lpstr>
      <vt:lpstr>Linear_Regression</vt:lpstr>
      <vt:lpstr>EC1to5_and_pH!Print_Titles</vt:lpstr>
    </vt:vector>
  </TitlesOfParts>
  <Manager/>
  <Company>ccber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ccber-intern</dc:creator>
  <cp:keywords/>
  <dc:description/>
  <cp:lastModifiedBy>ccber-admin</cp:lastModifiedBy>
  <cp:revision/>
  <dcterms:created xsi:type="dcterms:W3CDTF">2018-08-29T15:57:32Z</dcterms:created>
  <dcterms:modified xsi:type="dcterms:W3CDTF">2021-06-30T20:41:13Z</dcterms:modified>
  <cp:category/>
  <cp:contentStatus/>
</cp:coreProperties>
</file>