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ber-admin\AppData\Local\Box\Box Edit\Documents\perBLnehzUy8Itc2il_Oqg==\"/>
    </mc:Choice>
  </mc:AlternateContent>
  <bookViews>
    <workbookView xWindow="-105" yWindow="-105" windowWidth="23250" windowHeight="12720"/>
  </bookViews>
  <sheets>
    <sheet name="Best_Data" sheetId="3" r:id="rId1"/>
    <sheet name="Oct2019_Data" sheetId="4" r:id="rId2"/>
    <sheet name="Raw_Data" sheetId="1" r:id="rId3"/>
  </sheets>
  <definedNames>
    <definedName name="_xlnm._FilterDatabase" localSheetId="0" hidden="1">Best_Data!$A$1:$H$179</definedName>
    <definedName name="_xlnm._FilterDatabase" localSheetId="2" hidden="1">Raw_Data!$A$1:$G$179</definedName>
    <definedName name="_xlnm.Print_Titles" localSheetId="0">Best_Data!$1:$1</definedName>
    <definedName name="_xlnm.Print_Titles" localSheetId="2">Raw_Data!$1:$1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<sst xmlns="http://schemas.openxmlformats.org/spreadsheetml/2006/main" count="434" uniqueCount="200">
  <si>
    <t>Sample ID</t>
  </si>
  <si>
    <t>CP1_AH1_0_15</t>
  </si>
  <si>
    <t>CP1_AH1_15_30</t>
  </si>
  <si>
    <t>CP1_AH1_30_45</t>
  </si>
  <si>
    <t>CP1_AH1_45_60</t>
  </si>
  <si>
    <t>CP1_AH1_60_75</t>
  </si>
  <si>
    <t>CP1_AH1_75_90</t>
  </si>
  <si>
    <t>CP2_AH1_0_15</t>
  </si>
  <si>
    <t>CP2_AH1_15_30</t>
  </si>
  <si>
    <t>CP2_AH1_30_45</t>
  </si>
  <si>
    <t>CP2_AH1_45_60</t>
  </si>
  <si>
    <t>CP3_AH1_0_15</t>
  </si>
  <si>
    <t>CP3_AH1_15_30</t>
  </si>
  <si>
    <t>CP3_AH1_30_45</t>
  </si>
  <si>
    <t>CP3_AH1_45_60</t>
  </si>
  <si>
    <t>CP3_AH1_60_75</t>
  </si>
  <si>
    <t>CP4_AH1_0_15</t>
  </si>
  <si>
    <t>CP4_AH1_15_30</t>
  </si>
  <si>
    <t>CP4_AH1_30_45</t>
  </si>
  <si>
    <t>CP4_AH1_45_60</t>
  </si>
  <si>
    <t>CP4_AH1_60_75</t>
  </si>
  <si>
    <t>CP5_AH1_0_15</t>
  </si>
  <si>
    <t>CP5_AH1_15_30</t>
  </si>
  <si>
    <t>CP5_AH1_30_45</t>
  </si>
  <si>
    <t>CP5_AH1_45_60</t>
  </si>
  <si>
    <t>CP5_AH1_60_75</t>
  </si>
  <si>
    <t>CP5_AH1_75_81</t>
  </si>
  <si>
    <t>CP6_AH1_0_15</t>
  </si>
  <si>
    <t>CP6_AH1_15_30</t>
  </si>
  <si>
    <t>CP6_AH1_30_45</t>
  </si>
  <si>
    <t>CP6_AH1_45_60</t>
  </si>
  <si>
    <t>CP6_AH1_60_75</t>
  </si>
  <si>
    <t>CP7_AH1_0_15</t>
  </si>
  <si>
    <t>CP7_AH1_15_30</t>
  </si>
  <si>
    <t>CP7_AH1_30_45</t>
  </si>
  <si>
    <t>CP7_AH1_45_60</t>
  </si>
  <si>
    <t>CP7_AH1_60_75</t>
  </si>
  <si>
    <t>CP7_AH1_75_80</t>
  </si>
  <si>
    <t>CP8_AH1_0_15</t>
  </si>
  <si>
    <t>CP8_AH1_15_30</t>
  </si>
  <si>
    <t>CP8_AH1_30_45</t>
  </si>
  <si>
    <t>CP8_AH1_45_60</t>
  </si>
  <si>
    <t>CP8_AH1_60_75</t>
  </si>
  <si>
    <t>CP8_AH1_75_80</t>
  </si>
  <si>
    <t>WP1_AH1_0_15</t>
  </si>
  <si>
    <t>WP1_AH1_30_45</t>
  </si>
  <si>
    <t>WP1_AH1_45_60</t>
  </si>
  <si>
    <t>WP1_AH1_60_75</t>
  </si>
  <si>
    <t>WP2_AH1_0_15</t>
  </si>
  <si>
    <t>WP2_AH1_15_30</t>
  </si>
  <si>
    <t>WP2_AH1_30_45</t>
  </si>
  <si>
    <t>WP2_AH1_45_60</t>
  </si>
  <si>
    <t>WP2_AH1_60_75</t>
  </si>
  <si>
    <t>WP3_AH1_0_15</t>
  </si>
  <si>
    <t>WP3_AH1_45_60</t>
  </si>
  <si>
    <t>WP3_AH1_75_90</t>
  </si>
  <si>
    <t>WP4_AH1_45_60</t>
  </si>
  <si>
    <t>WP5_AH1_0_15</t>
  </si>
  <si>
    <t>WP5_AH1_15_30</t>
  </si>
  <si>
    <t>WP5_AH1_30_45</t>
  </si>
  <si>
    <t>WP5_AH1_45_60</t>
  </si>
  <si>
    <t>WP5_AH1_60_75</t>
  </si>
  <si>
    <t>WP6_AH1_0_15</t>
  </si>
  <si>
    <t>WP6_AH1_15_30</t>
  </si>
  <si>
    <t>WP6_AH1_30_45</t>
  </si>
  <si>
    <t>WP6_AH1_45_60</t>
  </si>
  <si>
    <t>WP6_AH1_60_75</t>
  </si>
  <si>
    <t>WP6_AH1_75_90</t>
  </si>
  <si>
    <t>WP7_AH1_0_15</t>
  </si>
  <si>
    <t>WP7_AH1_15_30</t>
  </si>
  <si>
    <t>WP7_AH1_30_45</t>
  </si>
  <si>
    <t>WP7_AH1_45_60</t>
  </si>
  <si>
    <t>WP7_AH1_60_75</t>
  </si>
  <si>
    <t>WP7_AH1_75_90</t>
  </si>
  <si>
    <t>WP8_AH1_15_30</t>
  </si>
  <si>
    <t>WP8_AH1_30_45</t>
  </si>
  <si>
    <t>WP8_AH1_45_60</t>
  </si>
  <si>
    <t>WP8_AH1_60_75</t>
  </si>
  <si>
    <t>WP8_AH1_75_90</t>
  </si>
  <si>
    <t>pH (Lori - 2018)</t>
  </si>
  <si>
    <t>pH (Thao - 2019)</t>
  </si>
  <si>
    <t>EC 1:5 Ratio (µS) - Lori (2018)</t>
  </si>
  <si>
    <t>EC 1:5 Ratio (µS) - Thao (2019)</t>
  </si>
  <si>
    <t>EC 1:5 Ratio (µS) - Thao (2019) - replicate</t>
  </si>
  <si>
    <t>CP1_AH2_0_15</t>
  </si>
  <si>
    <t>CP1_AH2_15_30</t>
  </si>
  <si>
    <t>CP1_AH2_30_45</t>
  </si>
  <si>
    <t>CP1_AH2_45_60</t>
  </si>
  <si>
    <t>CP1_AH2_60_75</t>
  </si>
  <si>
    <t>CP3_AH2_0_15</t>
  </si>
  <si>
    <t>CP3_AH2_15_30</t>
  </si>
  <si>
    <t>CP3_AH2_30_45</t>
  </si>
  <si>
    <t>CP3_AH2_45_60</t>
  </si>
  <si>
    <t>CP3_AH2_60_75</t>
  </si>
  <si>
    <t>CP4_AH2_0_15</t>
  </si>
  <si>
    <t>CP4_AH2_15_30</t>
  </si>
  <si>
    <t>CP4_AH2_30_45</t>
  </si>
  <si>
    <t>CP4_AH2_45_60</t>
  </si>
  <si>
    <t>CP4_AH2_60_75</t>
  </si>
  <si>
    <t>CP4_AH2_75_90</t>
  </si>
  <si>
    <t>CP8_AH2_0_15</t>
  </si>
  <si>
    <t>CP8_AH2_15_30</t>
  </si>
  <si>
    <t>CP8_AH2_30_45</t>
  </si>
  <si>
    <t>CP8_AH2_45_60</t>
  </si>
  <si>
    <t>CP8_AH2_60_75</t>
  </si>
  <si>
    <t>CP5_AH2_0_15</t>
  </si>
  <si>
    <t>CP5_AH2_15_30</t>
  </si>
  <si>
    <t>CP5_AH2_30_45</t>
  </si>
  <si>
    <t>CP5_AH2_45_60</t>
  </si>
  <si>
    <t>CP5_AH2_60_75</t>
  </si>
  <si>
    <t>CP5_AH2_75_90</t>
  </si>
  <si>
    <t>pH (Thao - 2019)
replicate</t>
  </si>
  <si>
    <t>CP6_AH2_0_15</t>
  </si>
  <si>
    <t>CP6_AH2_15_30</t>
  </si>
  <si>
    <t>CP6_AH2_30_45</t>
  </si>
  <si>
    <t>CP6_AH2_45_60</t>
  </si>
  <si>
    <t>CP6_AH2_60_75</t>
  </si>
  <si>
    <t>CP7_AH2_0_15</t>
  </si>
  <si>
    <t>CP7_AH2_15_30</t>
  </si>
  <si>
    <t>CP7_AH2_30_45</t>
  </si>
  <si>
    <t>CP7_AH2_45_60</t>
  </si>
  <si>
    <t>CP7_AH2_60_75</t>
  </si>
  <si>
    <t>WP5_AH2_45_60</t>
  </si>
  <si>
    <t>WP6_AH2_30_45</t>
  </si>
  <si>
    <t>WP6_AH2_75_90</t>
  </si>
  <si>
    <t>WP7_AH2_0_15</t>
  </si>
  <si>
    <t>WP7_AH2_75_90</t>
  </si>
  <si>
    <t>CP2_AH1_60_75</t>
  </si>
  <si>
    <t>CP2_AH2_0_15</t>
  </si>
  <si>
    <t>CP2_AH2_15_30</t>
  </si>
  <si>
    <t>CP2_AH2_30_45</t>
  </si>
  <si>
    <t>CP2_AH2_45_60</t>
  </si>
  <si>
    <t>CP2_AH2_60_75</t>
  </si>
  <si>
    <t>WP1_AH1_15_30</t>
  </si>
  <si>
    <t>WP1_AH2_0_15</t>
  </si>
  <si>
    <t>WP1_AH2_15_30</t>
  </si>
  <si>
    <t>WP1_AH2_30_45</t>
  </si>
  <si>
    <t>WP1_AH2_45_60</t>
  </si>
  <si>
    <t>WP1_AH2_60_75</t>
  </si>
  <si>
    <t>WP1_AH2_75_90</t>
  </si>
  <si>
    <t>WP2_AH1_75_88</t>
  </si>
  <si>
    <t>WP2_AH2_0_15</t>
  </si>
  <si>
    <t>WP2_AH2_15_30</t>
  </si>
  <si>
    <t>WP2_AH2_30_45</t>
  </si>
  <si>
    <t>WP2_AH2_45_60</t>
  </si>
  <si>
    <t>WP2_AH2_60_75</t>
  </si>
  <si>
    <t>WP2_AH2_75_90</t>
  </si>
  <si>
    <t>WP3_AH1_15_30</t>
  </si>
  <si>
    <t>WP3_AH1_30_45</t>
  </si>
  <si>
    <t>WP3_AH2_0_15</t>
  </si>
  <si>
    <t>WP3_AH2_15_30</t>
  </si>
  <si>
    <t>WP3_AH2_30_45</t>
  </si>
  <si>
    <t>WP3_AH2_45_60</t>
  </si>
  <si>
    <t>WP3_AH2_60_75</t>
  </si>
  <si>
    <t>WP3_AH2_75_90</t>
  </si>
  <si>
    <t>WP4_AH1_0_15</t>
  </si>
  <si>
    <t>WP4_AH1_15_30</t>
  </si>
  <si>
    <t>WP4_AH1_30_45</t>
  </si>
  <si>
    <t>WP4_AH1_60_75</t>
  </si>
  <si>
    <t>WP4_AH1_75_90</t>
  </si>
  <si>
    <t>WP4_AH2_0_15</t>
  </si>
  <si>
    <t>WP4_AH2_15_30</t>
  </si>
  <si>
    <t>WP4_AH2_30_45</t>
  </si>
  <si>
    <t>WP4_AH2_45_60</t>
  </si>
  <si>
    <t>WP4_AH2_60_75</t>
  </si>
  <si>
    <t>WP4_AH2_75_90</t>
  </si>
  <si>
    <t>WP5_AH2_0_15</t>
  </si>
  <si>
    <t>WP5_AH2_15_30</t>
  </si>
  <si>
    <t>WP5_AH2_30_45</t>
  </si>
  <si>
    <t>WP5_AH2_60_75</t>
  </si>
  <si>
    <t>WP6_AH2_0_15</t>
  </si>
  <si>
    <t>WP6_AH2_15_30</t>
  </si>
  <si>
    <t>WP6_AH2_45_60</t>
  </si>
  <si>
    <t>WP6_AH2_60_75</t>
  </si>
  <si>
    <t>WP7_AH2_15_30</t>
  </si>
  <si>
    <t>WP7_AH2_30_45</t>
  </si>
  <si>
    <t>WP7_AH2_45_60</t>
  </si>
  <si>
    <t>WP7_AH2_60_75</t>
  </si>
  <si>
    <t>WP8_AH1_0_15</t>
  </si>
  <si>
    <t>WP8_AH2_0_15</t>
  </si>
  <si>
    <t>WP8_AH2_15_30</t>
  </si>
  <si>
    <t>WP8_AH2_30_45</t>
  </si>
  <si>
    <t>WP8_AH2_45_60</t>
  </si>
  <si>
    <t>WP8_AH2_60_75</t>
  </si>
  <si>
    <t>WP3_AH1_60_75</t>
  </si>
  <si>
    <t>EC 1:5 Ratio (µS)</t>
  </si>
  <si>
    <t>Depth (cm)</t>
  </si>
  <si>
    <t>0-15</t>
  </si>
  <si>
    <t>15-30</t>
  </si>
  <si>
    <t>30-45</t>
  </si>
  <si>
    <t>45-60</t>
  </si>
  <si>
    <t>60-75</t>
  </si>
  <si>
    <t>75-90</t>
  </si>
  <si>
    <t>FGL pH</t>
  </si>
  <si>
    <t>CP5_AH1_75_90</t>
  </si>
  <si>
    <t>Sample_ID</t>
  </si>
  <si>
    <t>pH</t>
  </si>
  <si>
    <t>EC (μS)</t>
  </si>
  <si>
    <t>EC Oct2019 (µS)</t>
  </si>
  <si>
    <t>pH Oct2019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</si>
</sst>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0" fillId="0" borderId="0" xfId="0" applyFont="1" applyAlignment="1"/>
    <xf numFmtId="0" fontId="3" fillId="0" borderId="0" xfId="0" applyFont="1" applyAlignment="1"/>
    <xf numFmtId="0" fontId="0" fillId="0" borderId="0" xfId="0" applyFont="1" applyFill="1" applyAlignment="1"/>
    <xf numFmtId="0" fontId="0" fillId="0" borderId="0" xfId="0" applyFill="1"/>
    <xf numFmtId="0" fontId="0" fillId="2" borderId="0" xfId="0" applyFont="1" applyFill="1" applyAlignment="1"/>
    <xf numFmtId="0" fontId="0" fillId="2" borderId="0" xfId="0" applyFill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0" fillId="0" borderId="2" xfId="0" applyNumberFormat="1" applyBorder="1"/>
    <xf numFmtId="1" fontId="0" fillId="0" borderId="3" xfId="0" applyNumberFormat="1" applyBorder="1"/>
    <xf numFmtId="0" fontId="0" fillId="0" borderId="0" xfId="0" applyAlignment="1">
      <alignment horizontal="center"/>
    </xf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1 - pH comparison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Best_Data!$E$1</c:f>
              <c:strCache>
                <c:ptCount val="1"/>
                <c:pt idx="0">
                  <c:v>FGL pH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Best_Data!$E$2</c:f>
              <c:numCache>
                <c:formatCode>General</c:formatCode>
                <c:ptCount val="1"/>
                <c:pt idx="0">
                  <c:v>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2C-43CA-9E5A-C515759EAE09}"/>
            </c:ext>
          </c:extLst>
        </c:ser>
        <c:ser>
          <c:idx val="0"/>
          <c:order val="1"/>
          <c:tx>
            <c:strRef>
              <c:f>Best_Data!$F$1</c:f>
              <c:strCache>
                <c:ptCount val="1"/>
                <c:pt idx="0">
                  <c:v>pH (Lori - 2018)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Best_Data!$F$2:$F$7</c:f>
              <c:numCache>
                <c:formatCode>General</c:formatCode>
                <c:ptCount val="6"/>
                <c:pt idx="0">
                  <c:v>9.42</c:v>
                </c:pt>
                <c:pt idx="1">
                  <c:v>8.93</c:v>
                </c:pt>
                <c:pt idx="2">
                  <c:v>8.7200000000000006</c:v>
                </c:pt>
                <c:pt idx="3">
                  <c:v>9.4</c:v>
                </c:pt>
                <c:pt idx="4">
                  <c:v>8.4499999999999993</c:v>
                </c:pt>
                <c:pt idx="5">
                  <c:v>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C-43CA-9E5A-C515759EAE09}"/>
            </c:ext>
          </c:extLst>
        </c:ser>
        <c:ser>
          <c:idx val="1"/>
          <c:order val="2"/>
          <c:tx>
            <c:strRef>
              <c:f>Best_Data!$G$1</c:f>
              <c:strCache>
                <c:ptCount val="1"/>
                <c:pt idx="0">
                  <c:v>pH (Thao - 2019)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Best_Data!$G$2:$G$7</c:f>
              <c:numCache>
                <c:formatCode>General</c:formatCode>
                <c:ptCount val="6"/>
                <c:pt idx="0">
                  <c:v>8.89</c:v>
                </c:pt>
                <c:pt idx="1">
                  <c:v>8.34</c:v>
                </c:pt>
                <c:pt idx="2">
                  <c:v>7.93</c:v>
                </c:pt>
                <c:pt idx="3">
                  <c:v>8.4600000000000009</c:v>
                </c:pt>
                <c:pt idx="4">
                  <c:v>8.17</c:v>
                </c:pt>
                <c:pt idx="5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C-43CA-9E5A-C515759EAE09}"/>
            </c:ext>
          </c:extLst>
        </c:ser>
        <c:ser>
          <c:idx val="3"/>
          <c:order val="3"/>
          <c:tx>
            <c:v>pH (Oct 2019)</c:v>
          </c:tx>
          <c:invertIfNegative val="0"/>
          <c:val>
            <c:numRef>
              <c:f>Best_Data!$I$2:$I$7</c:f>
              <c:numCache>
                <c:formatCode>General</c:formatCode>
                <c:ptCount val="6"/>
                <c:pt idx="0">
                  <c:v>9.1</c:v>
                </c:pt>
                <c:pt idx="1">
                  <c:v>8.7200000000000006</c:v>
                </c:pt>
                <c:pt idx="2">
                  <c:v>8.4499999999999993</c:v>
                </c:pt>
                <c:pt idx="3">
                  <c:v>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8-4C8C-BD49-FB194D503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00224"/>
        <c:axId val="195701760"/>
      </c:barChart>
      <c:catAx>
        <c:axId val="19570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01760"/>
        <c:crosses val="autoZero"/>
        <c:auto val="1"/>
        <c:lblAlgn val="ctr"/>
        <c:lblOffset val="100"/>
        <c:noMultiLvlLbl val="0"/>
      </c:catAx>
      <c:valAx>
        <c:axId val="1957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0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2 - pH comparison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Best_Data!$E$1</c:f>
              <c:strCache>
                <c:ptCount val="1"/>
                <c:pt idx="0">
                  <c:v>FGL pH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Best_Data!$E$13</c:f>
              <c:numCache>
                <c:formatCode>General</c:formatCode>
                <c:ptCount val="1"/>
                <c:pt idx="0">
                  <c:v>8.1199999999999992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D5-4C72-A0A8-E91CB23545EA}"/>
            </c:ext>
          </c:extLst>
        </c:ser>
        <c:ser>
          <c:idx val="0"/>
          <c:order val="1"/>
          <c:tx>
            <c:strRef>
              <c:f>Best_Data!$F$1</c:f>
              <c:strCache>
                <c:ptCount val="1"/>
                <c:pt idx="0">
                  <c:v>pH (Lori - 2018)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Best_Data!$F$13:$F$17</c:f>
              <c:numCache>
                <c:formatCode>General</c:formatCode>
                <c:ptCount val="5"/>
                <c:pt idx="0">
                  <c:v>9.0399999999999991</c:v>
                </c:pt>
                <c:pt idx="1">
                  <c:v>9.2100000000000009</c:v>
                </c:pt>
                <c:pt idx="2">
                  <c:v>9.0500000000000007</c:v>
                </c:pt>
                <c:pt idx="3">
                  <c:v>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5-4C72-A0A8-E91CB23545EA}"/>
            </c:ext>
          </c:extLst>
        </c:ser>
        <c:ser>
          <c:idx val="1"/>
          <c:order val="2"/>
          <c:tx>
            <c:strRef>
              <c:f>Best_Data!$G$1</c:f>
              <c:strCache>
                <c:ptCount val="1"/>
                <c:pt idx="0">
                  <c:v>pH (Thao - 2019)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Best_Data!$G$13:$G$17</c:f>
              <c:numCache>
                <c:formatCode>General</c:formatCode>
                <c:ptCount val="5"/>
                <c:pt idx="0">
                  <c:v>8.26</c:v>
                </c:pt>
                <c:pt idx="1">
                  <c:v>8.67</c:v>
                </c:pt>
                <c:pt idx="2">
                  <c:v>8.14</c:v>
                </c:pt>
                <c:pt idx="3">
                  <c:v>8.34</c:v>
                </c:pt>
                <c:pt idx="4">
                  <c:v>8.2100000000000009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5-4C72-A0A8-E91CB23545EA}"/>
            </c:ext>
          </c:extLst>
        </c:ser>
        <c:ser>
          <c:idx val="3"/>
          <c:order val="3"/>
          <c:tx>
            <c:v>pH (Oct 2019)</c:v>
          </c:tx>
          <c:invertIfNegative val="0"/>
          <c:val>
            <c:numRef>
              <c:f>Best_Data!$I$13:$I$17</c:f>
              <c:numCache>
                <c:formatCode>General</c:formatCode>
                <c:ptCount val="5"/>
                <c:pt idx="0">
                  <c:v>8.39</c:v>
                </c:pt>
                <c:pt idx="1">
                  <c:v>8.67</c:v>
                </c:pt>
                <c:pt idx="2">
                  <c:v>8.49</c:v>
                </c:pt>
                <c:pt idx="3">
                  <c:v>8.75</c:v>
                </c:pt>
                <c:pt idx="4">
                  <c:v>8.18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F-4AF4-A238-C481B9D53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29280"/>
        <c:axId val="195730816"/>
      </c:barChart>
      <c:catAx>
        <c:axId val="19572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30816"/>
        <c:crosses val="autoZero"/>
        <c:auto val="1"/>
        <c:lblAlgn val="ctr"/>
        <c:lblOffset val="100"/>
        <c:noMultiLvlLbl val="0"/>
      </c:catAx>
      <c:valAx>
        <c:axId val="195730816"/>
        <c:scaling>
          <c:orientation val="minMax"/>
          <c:max val="10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2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Site EC (µS) - Auger Hole 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Plot 1 (BC-0C)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Best_Data!$C$2:$C$7</c:f>
              <c:numCache>
                <c:formatCode>General</c:formatCode>
                <c:ptCount val="6"/>
                <c:pt idx="0">
                  <c:v>300.3</c:v>
                </c:pt>
                <c:pt idx="1">
                  <c:v>599.4</c:v>
                </c:pt>
                <c:pt idx="2">
                  <c:v>818.2</c:v>
                </c:pt>
                <c:pt idx="3">
                  <c:v>372.1</c:v>
                </c:pt>
                <c:pt idx="4">
                  <c:v>2760</c:v>
                </c:pt>
                <c:pt idx="5">
                  <c:v>5010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D-4BFE-8C86-403AA4084675}"/>
            </c:ext>
          </c:extLst>
        </c:ser>
        <c:ser>
          <c:idx val="0"/>
          <c:order val="1"/>
          <c:tx>
            <c:v>Plot 2 (BC-BC)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Best_Data!$C$13:$C$17</c:f>
              <c:numCache>
                <c:formatCode>General</c:formatCode>
                <c:ptCount val="5"/>
                <c:pt idx="0">
                  <c:v>777.5</c:v>
                </c:pt>
                <c:pt idx="1">
                  <c:v>820</c:v>
                </c:pt>
                <c:pt idx="2">
                  <c:v>441.6</c:v>
                </c:pt>
                <c:pt idx="3">
                  <c:v>423.8</c:v>
                </c:pt>
                <c:pt idx="4">
                  <c:v>2470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1D-4BFE-8C86-403AA4084675}"/>
            </c:ext>
          </c:extLst>
        </c:ser>
        <c:ser>
          <c:idx val="2"/>
          <c:order val="2"/>
          <c:tx>
            <c:v>Plot 3 (0C-BC)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Best_Data!$C$23:$C$27</c:f>
              <c:numCache>
                <c:formatCode>General</c:formatCode>
                <c:ptCount val="5"/>
                <c:pt idx="0">
                  <c:v>721.9</c:v>
                </c:pt>
                <c:pt idx="1">
                  <c:v>629.29999999999995</c:v>
                </c:pt>
                <c:pt idx="2">
                  <c:v>351.9</c:v>
                </c:pt>
                <c:pt idx="3">
                  <c:v>906.4</c:v>
                </c:pt>
                <c:pt idx="4">
                  <c:v>2470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1D-4BFE-8C86-403AA4084675}"/>
            </c:ext>
          </c:extLst>
        </c:ser>
        <c:ser>
          <c:idx val="3"/>
          <c:order val="3"/>
          <c:tx>
            <c:v>Plot 4 (0C-0C)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Best_Data!$C$33:$C$37</c:f>
              <c:numCache>
                <c:formatCode>General</c:formatCode>
                <c:ptCount val="5"/>
                <c:pt idx="0">
                  <c:v>495.5</c:v>
                </c:pt>
                <c:pt idx="1">
                  <c:v>668</c:v>
                </c:pt>
                <c:pt idx="2">
                  <c:v>469.7</c:v>
                </c:pt>
                <c:pt idx="3">
                  <c:v>430.1</c:v>
                </c:pt>
                <c:pt idx="4">
                  <c:v>2490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1D-4BFE-8C86-403AA4084675}"/>
            </c:ext>
          </c:extLst>
        </c:ser>
        <c:ser>
          <c:idx val="4"/>
          <c:order val="4"/>
          <c:tx>
            <c:v>Plot 5 (BC-00)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Best_Data!$C$44:$C$49</c:f>
              <c:numCache>
                <c:formatCode>General</c:formatCode>
                <c:ptCount val="6"/>
                <c:pt idx="0">
                  <c:v>865.1</c:v>
                </c:pt>
                <c:pt idx="1">
                  <c:v>964.8</c:v>
                </c:pt>
                <c:pt idx="2">
                  <c:v>503.4</c:v>
                </c:pt>
                <c:pt idx="3">
                  <c:v>307.8</c:v>
                </c:pt>
                <c:pt idx="4">
                  <c:v>1077</c:v>
                </c:pt>
                <c:pt idx="5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1D-4BFE-8C86-403AA4084675}"/>
            </c:ext>
          </c:extLst>
        </c:ser>
        <c:ser>
          <c:idx val="5"/>
          <c:order val="5"/>
          <c:tx>
            <c:v>Plot 6 (BC-B0)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Best_Data!$C$56:$C$60</c:f>
              <c:numCache>
                <c:formatCode>General</c:formatCode>
                <c:ptCount val="5"/>
                <c:pt idx="0">
                  <c:v>799.6</c:v>
                </c:pt>
                <c:pt idx="1">
                  <c:v>595.5</c:v>
                </c:pt>
                <c:pt idx="2">
                  <c:v>525</c:v>
                </c:pt>
                <c:pt idx="3">
                  <c:v>1240</c:v>
                </c:pt>
                <c:pt idx="4">
                  <c:v>2430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C1D-4BFE-8C86-403AA4084675}"/>
            </c:ext>
          </c:extLst>
        </c:ser>
        <c:ser>
          <c:idx val="6"/>
          <c:order val="6"/>
          <c:tx>
            <c:v>Plot 7 (0C-B0)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val>
            <c:numRef>
              <c:f>Best_Data!$C$66:$C$71</c:f>
              <c:numCache>
                <c:formatCode>General</c:formatCode>
                <c:ptCount val="6"/>
                <c:pt idx="0">
                  <c:v>673.9</c:v>
                </c:pt>
                <c:pt idx="1">
                  <c:v>689.8</c:v>
                </c:pt>
                <c:pt idx="2">
                  <c:v>507.2</c:v>
                </c:pt>
                <c:pt idx="3">
                  <c:v>362.6</c:v>
                </c:pt>
                <c:pt idx="4">
                  <c:v>1310</c:v>
                </c:pt>
                <c:pt idx="5">
                  <c:v>2830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1D-4BFE-8C86-403AA4084675}"/>
            </c:ext>
          </c:extLst>
        </c:ser>
        <c:ser>
          <c:idx val="7"/>
          <c:order val="7"/>
          <c:tx>
            <c:v>Plot 8 (0C-00)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Best_Data!$C$77:$C$82</c:f>
              <c:numCache>
                <c:formatCode>General</c:formatCode>
                <c:ptCount val="6"/>
                <c:pt idx="0">
                  <c:v>453.1</c:v>
                </c:pt>
                <c:pt idx="1">
                  <c:v>535.6</c:v>
                </c:pt>
                <c:pt idx="2">
                  <c:v>437.7</c:v>
                </c:pt>
                <c:pt idx="3">
                  <c:v>435.8</c:v>
                </c:pt>
                <c:pt idx="4">
                  <c:v>2270</c:v>
                </c:pt>
                <c:pt idx="5">
                  <c:v>4210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1D-4BFE-8C86-403AA4084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805568"/>
        <c:axId val="195807488"/>
      </c:barChart>
      <c:catAx>
        <c:axId val="19580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Sample</a:t>
                </a:r>
                <a:r>
                  <a:rPr lang="en-US" baseline="0"/>
                  <a:t> Depth (cm)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807488"/>
        <c:crosses val="autoZero"/>
        <c:auto val="1"/>
        <c:lblAlgn val="ctr"/>
        <c:lblOffset val="100"/>
        <c:noMultiLvlLbl val="0"/>
      </c:catAx>
      <c:valAx>
        <c:axId val="195807488"/>
        <c:scaling>
          <c:orientation val="minMax"/>
          <c:max val="5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EC (µS)</a:t>
                </a:r>
              </a:p>
            </c:rich>
          </c:tx>
          <c:layout>
            <c:manualLayout>
              <c:xMode val="edge"/>
              <c:yMode val="edge"/>
              <c:x val="1.1778563015312132E-2"/>
              <c:y val="0.407213779678229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805568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Site EC (µS) - Auger Hole 2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Plot 1 (BC-0C)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Best_Data!$C$8:$C$12</c:f>
              <c:numCache>
                <c:formatCode>General</c:formatCode>
                <c:ptCount val="5"/>
                <c:pt idx="0">
                  <c:v>563.29999999999995</c:v>
                </c:pt>
                <c:pt idx="1">
                  <c:v>924.7</c:v>
                </c:pt>
                <c:pt idx="2">
                  <c:v>1287</c:v>
                </c:pt>
                <c:pt idx="3">
                  <c:v>563.1</c:v>
                </c:pt>
                <c:pt idx="4">
                  <c:v>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9-45C4-8E43-F7004B567606}"/>
            </c:ext>
          </c:extLst>
        </c:ser>
        <c:ser>
          <c:idx val="0"/>
          <c:order val="1"/>
          <c:tx>
            <c:v>Plot 2 (BC-BC)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Best_Data!$C$18:$C$22</c:f>
              <c:numCache>
                <c:formatCode>General</c:formatCode>
                <c:ptCount val="5"/>
                <c:pt idx="0">
                  <c:v>660.1</c:v>
                </c:pt>
                <c:pt idx="1">
                  <c:v>711.9</c:v>
                </c:pt>
                <c:pt idx="2">
                  <c:v>380.6</c:v>
                </c:pt>
                <c:pt idx="3">
                  <c:v>1069</c:v>
                </c:pt>
                <c:pt idx="4">
                  <c:v>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9-45C4-8E43-F7004B567606}"/>
            </c:ext>
          </c:extLst>
        </c:ser>
        <c:ser>
          <c:idx val="2"/>
          <c:order val="2"/>
          <c:tx>
            <c:v>Plot 3 (0C-BC)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Best_Data!$C$28:$C$32</c:f>
              <c:numCache>
                <c:formatCode>General</c:formatCode>
                <c:ptCount val="5"/>
                <c:pt idx="0">
                  <c:v>505.7</c:v>
                </c:pt>
                <c:pt idx="1">
                  <c:v>504.8</c:v>
                </c:pt>
                <c:pt idx="2">
                  <c:v>460</c:v>
                </c:pt>
                <c:pt idx="3">
                  <c:v>447.8</c:v>
                </c:pt>
                <c:pt idx="4">
                  <c:v>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9-45C4-8E43-F7004B567606}"/>
            </c:ext>
          </c:extLst>
        </c:ser>
        <c:ser>
          <c:idx val="3"/>
          <c:order val="3"/>
          <c:tx>
            <c:v>Plot 4 (0C-0C)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Best_Data!$C$38:$C$43</c:f>
              <c:numCache>
                <c:formatCode>General</c:formatCode>
                <c:ptCount val="6"/>
                <c:pt idx="0">
                  <c:v>443.9</c:v>
                </c:pt>
                <c:pt idx="1">
                  <c:v>591.79999999999995</c:v>
                </c:pt>
                <c:pt idx="2">
                  <c:v>500.6</c:v>
                </c:pt>
                <c:pt idx="3">
                  <c:v>437.8</c:v>
                </c:pt>
                <c:pt idx="4">
                  <c:v>2010</c:v>
                </c:pt>
                <c:pt idx="5">
                  <c:v>3240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9-45C4-8E43-F7004B567606}"/>
            </c:ext>
          </c:extLst>
        </c:ser>
        <c:ser>
          <c:idx val="4"/>
          <c:order val="4"/>
          <c:tx>
            <c:v>Plot 5 (BC-00)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Best_Data!$C$50:$C$55</c:f>
              <c:numCache>
                <c:formatCode>General</c:formatCode>
                <c:ptCount val="6"/>
                <c:pt idx="0">
                  <c:v>651.5</c:v>
                </c:pt>
                <c:pt idx="1">
                  <c:v>570.1</c:v>
                </c:pt>
                <c:pt idx="2">
                  <c:v>329.4</c:v>
                </c:pt>
                <c:pt idx="3">
                  <c:v>260.60000000000002</c:v>
                </c:pt>
                <c:pt idx="4">
                  <c:v>420.2</c:v>
                </c:pt>
                <c:pt idx="5">
                  <c:v>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39-45C4-8E43-F7004B567606}"/>
            </c:ext>
          </c:extLst>
        </c:ser>
        <c:ser>
          <c:idx val="5"/>
          <c:order val="5"/>
          <c:tx>
            <c:v>Plot 6 (BC-B0)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Best_Data!$C$61:$C$65</c:f>
              <c:numCache>
                <c:formatCode>General</c:formatCode>
                <c:ptCount val="5"/>
                <c:pt idx="0">
                  <c:v>621.5</c:v>
                </c:pt>
                <c:pt idx="1">
                  <c:v>590.6</c:v>
                </c:pt>
                <c:pt idx="2">
                  <c:v>497.8</c:v>
                </c:pt>
                <c:pt idx="3">
                  <c:v>386.6</c:v>
                </c:pt>
                <c:pt idx="4">
                  <c:v>3550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39-45C4-8E43-F7004B567606}"/>
            </c:ext>
          </c:extLst>
        </c:ser>
        <c:ser>
          <c:idx val="6"/>
          <c:order val="6"/>
          <c:tx>
            <c:v>Plot 7 (0C-B0)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Best_Data!$C$72:$C$76</c:f>
              <c:numCache>
                <c:formatCode>General</c:formatCode>
                <c:ptCount val="5"/>
                <c:pt idx="0">
                  <c:v>376.3</c:v>
                </c:pt>
                <c:pt idx="1">
                  <c:v>435.8</c:v>
                </c:pt>
                <c:pt idx="2">
                  <c:v>484.5</c:v>
                </c:pt>
                <c:pt idx="3">
                  <c:v>613.5</c:v>
                </c:pt>
                <c:pt idx="4">
                  <c:v>2830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39-45C4-8E43-F7004B567606}"/>
            </c:ext>
          </c:extLst>
        </c:ser>
        <c:ser>
          <c:idx val="7"/>
          <c:order val="7"/>
          <c:tx>
            <c:v>Plot 8 (0C-00)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Best_Data!$C$83:$C$87</c:f>
              <c:numCache>
                <c:formatCode>General</c:formatCode>
                <c:ptCount val="5"/>
                <c:pt idx="0">
                  <c:v>1154</c:v>
                </c:pt>
                <c:pt idx="1">
                  <c:v>973.5</c:v>
                </c:pt>
                <c:pt idx="2">
                  <c:v>699.7</c:v>
                </c:pt>
                <c:pt idx="3">
                  <c:v>456.7</c:v>
                </c:pt>
                <c:pt idx="4">
                  <c:v>3430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39-45C4-8E43-F7004B567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92960"/>
        <c:axId val="196007424"/>
      </c:barChart>
      <c:catAx>
        <c:axId val="195992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Sample</a:t>
                </a:r>
                <a:r>
                  <a:rPr lang="en-US" baseline="0"/>
                  <a:t> Depth (cm)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007424"/>
        <c:crosses val="autoZero"/>
        <c:auto val="1"/>
        <c:lblAlgn val="ctr"/>
        <c:lblOffset val="100"/>
        <c:noMultiLvlLbl val="0"/>
      </c:catAx>
      <c:valAx>
        <c:axId val="196007424"/>
        <c:scaling>
          <c:orientation val="minMax"/>
          <c:max val="5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EC (µS)</a:t>
                </a:r>
              </a:p>
            </c:rich>
          </c:tx>
          <c:layout>
            <c:manualLayout>
              <c:xMode val="edge"/>
              <c:yMode val="edge"/>
              <c:x val="1.1778563015312132E-2"/>
              <c:y val="0.407213779678229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99296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1 - pH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Auger Hole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Best_Data!$G$2:$G$7</c:f>
              <c:numCache>
                <c:formatCode>General</c:formatCode>
                <c:ptCount val="6"/>
                <c:pt idx="0">
                  <c:v>8.89</c:v>
                </c:pt>
                <c:pt idx="1">
                  <c:v>8.34</c:v>
                </c:pt>
                <c:pt idx="2">
                  <c:v>7.93</c:v>
                </c:pt>
                <c:pt idx="3">
                  <c:v>8.4600000000000009</c:v>
                </c:pt>
                <c:pt idx="4">
                  <c:v>8.17</c:v>
                </c:pt>
                <c:pt idx="5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7-4317-A9B7-472AFADD82B7}"/>
            </c:ext>
          </c:extLst>
        </c:ser>
        <c:ser>
          <c:idx val="1"/>
          <c:order val="1"/>
          <c:tx>
            <c:v>Auger Hole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Best_Data!$G$8:$G$12</c:f>
              <c:numCache>
                <c:formatCode>General</c:formatCode>
                <c:ptCount val="5"/>
                <c:pt idx="0">
                  <c:v>7.67</c:v>
                </c:pt>
                <c:pt idx="1">
                  <c:v>7.65</c:v>
                </c:pt>
                <c:pt idx="2">
                  <c:v>8.8699999999999992</c:v>
                </c:pt>
                <c:pt idx="3">
                  <c:v>9.19</c:v>
                </c:pt>
                <c:pt idx="4">
                  <c:v>8.77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7-4317-A9B7-472AFADD82B7}"/>
            </c:ext>
          </c:extLst>
        </c:ser>
        <c:ser>
          <c:idx val="2"/>
          <c:order val="2"/>
          <c:tx>
            <c:v>FGL pH</c:v>
          </c:tx>
          <c:invertIfNegative val="0"/>
          <c:val>
            <c:numRef>
              <c:f>Best_Data!$E$2</c:f>
              <c:numCache>
                <c:formatCode>General</c:formatCode>
                <c:ptCount val="1"/>
                <c:pt idx="0">
                  <c:v>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4-431B-B207-D1CAB227A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13984"/>
        <c:axId val="195936256"/>
      </c:barChart>
      <c:catAx>
        <c:axId val="19591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936256"/>
        <c:crosses val="autoZero"/>
        <c:auto val="1"/>
        <c:lblAlgn val="ctr"/>
        <c:lblOffset val="100"/>
        <c:noMultiLvlLbl val="0"/>
      </c:catAx>
      <c:valAx>
        <c:axId val="195936256"/>
        <c:scaling>
          <c:orientation val="minMax"/>
          <c:max val="10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91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3 - pH comparison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FGL pH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Best_Data!$E$23</c:f>
              <c:numCache>
                <c:formatCode>General</c:formatCode>
                <c:ptCount val="1"/>
                <c:pt idx="0">
                  <c:v>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2C-43CA-9E5A-C515759EAE09}"/>
            </c:ext>
          </c:extLst>
        </c:ser>
        <c:ser>
          <c:idx val="0"/>
          <c:order val="1"/>
          <c:tx>
            <c:v>Ph (Lori - 2018)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Best_Data!$F$23:$F$27</c:f>
              <c:numCache>
                <c:formatCode>General</c:formatCode>
                <c:ptCount val="5"/>
                <c:pt idx="0">
                  <c:v>8.83</c:v>
                </c:pt>
                <c:pt idx="1">
                  <c:v>8.92</c:v>
                </c:pt>
                <c:pt idx="2">
                  <c:v>8.75</c:v>
                </c:pt>
                <c:pt idx="3">
                  <c:v>8.83</c:v>
                </c:pt>
                <c:pt idx="4">
                  <c:v>8.4499999999999993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C-43CA-9E5A-C515759EAE09}"/>
            </c:ext>
          </c:extLst>
        </c:ser>
        <c:ser>
          <c:idx val="1"/>
          <c:order val="2"/>
          <c:tx>
            <c:v>pH (Thao - 2019)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Best_Data!$G$23:$G$27</c:f>
              <c:numCache>
                <c:formatCode>General</c:formatCode>
                <c:ptCount val="5"/>
                <c:pt idx="0">
                  <c:v>9.1</c:v>
                </c:pt>
                <c:pt idx="1">
                  <c:v>8.5500000000000007</c:v>
                </c:pt>
                <c:pt idx="2">
                  <c:v>8.27</c:v>
                </c:pt>
                <c:pt idx="3">
                  <c:v>8.18</c:v>
                </c:pt>
                <c:pt idx="4">
                  <c:v>8.27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C-43CA-9E5A-C515759EAE09}"/>
            </c:ext>
          </c:extLst>
        </c:ser>
        <c:ser>
          <c:idx val="3"/>
          <c:order val="3"/>
          <c:tx>
            <c:v>pH (Oct 2019)</c:v>
          </c:tx>
          <c:invertIfNegative val="0"/>
          <c:val>
            <c:numRef>
              <c:f>Best_Data!$I$23:$I$27</c:f>
              <c:numCache>
                <c:formatCode>General</c:formatCode>
                <c:ptCount val="5"/>
                <c:pt idx="0">
                  <c:v>7.66</c:v>
                </c:pt>
                <c:pt idx="1">
                  <c:v>8.77</c:v>
                </c:pt>
                <c:pt idx="2">
                  <c:v>8.43</c:v>
                </c:pt>
                <c:pt idx="3">
                  <c:v>8.52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E-47EB-B3B6-FF5005872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037632"/>
        <c:axId val="196039424"/>
      </c:barChart>
      <c:catAx>
        <c:axId val="1960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039424"/>
        <c:crosses val="autoZero"/>
        <c:auto val="1"/>
        <c:lblAlgn val="ctr"/>
        <c:lblOffset val="100"/>
        <c:noMultiLvlLbl val="0"/>
      </c:catAx>
      <c:valAx>
        <c:axId val="196039424"/>
        <c:scaling>
          <c:orientation val="minMax"/>
          <c:max val="10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0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4 - pH comparison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Ph (Lori - 2018)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Best_Data!$F$33:$F$37</c:f>
              <c:numCache>
                <c:formatCode>General</c:formatCode>
                <c:ptCount val="5"/>
                <c:pt idx="0">
                  <c:v>9.15</c:v>
                </c:pt>
                <c:pt idx="1">
                  <c:v>9.24</c:v>
                </c:pt>
                <c:pt idx="2">
                  <c:v>9.52</c:v>
                </c:pt>
                <c:pt idx="3">
                  <c:v>9.23</c:v>
                </c:pt>
                <c:pt idx="4">
                  <c:v>8.51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C-43CA-9E5A-C515759EAE09}"/>
            </c:ext>
          </c:extLst>
        </c:ser>
        <c:ser>
          <c:idx val="1"/>
          <c:order val="1"/>
          <c:tx>
            <c:v>pH (Thao - 2019)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Best_Data!$G$33:$G$37</c:f>
              <c:numCache>
                <c:formatCode>General</c:formatCode>
                <c:ptCount val="5"/>
                <c:pt idx="0">
                  <c:v>8.8000000000000007</c:v>
                </c:pt>
                <c:pt idx="1">
                  <c:v>8.82</c:v>
                </c:pt>
                <c:pt idx="2">
                  <c:v>8.65</c:v>
                </c:pt>
                <c:pt idx="3">
                  <c:v>8.4</c:v>
                </c:pt>
                <c:pt idx="4">
                  <c:v>8.32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C-43CA-9E5A-C515759EAE09}"/>
            </c:ext>
          </c:extLst>
        </c:ser>
        <c:ser>
          <c:idx val="2"/>
          <c:order val="2"/>
          <c:tx>
            <c:v>FGL pH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Best_Data!$E$33</c:f>
              <c:numCache>
                <c:formatCode>General</c:formatCode>
                <c:ptCount val="1"/>
                <c:pt idx="0">
                  <c:v>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2C-43CA-9E5A-C515759EA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428352"/>
        <c:axId val="195429888"/>
      </c:barChart>
      <c:catAx>
        <c:axId val="19542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429888"/>
        <c:crosses val="autoZero"/>
        <c:auto val="1"/>
        <c:lblAlgn val="ctr"/>
        <c:lblOffset val="100"/>
        <c:noMultiLvlLbl val="0"/>
      </c:catAx>
      <c:valAx>
        <c:axId val="195429888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42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5 - pH comparison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Ph (Lori - 2018)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Best_Data!$F$44:$F$49</c:f>
              <c:numCache>
                <c:formatCode>General</c:formatCode>
                <c:ptCount val="6"/>
                <c:pt idx="0">
                  <c:v>9.1199999999999992</c:v>
                </c:pt>
                <c:pt idx="1">
                  <c:v>8.8000000000000007</c:v>
                </c:pt>
                <c:pt idx="2">
                  <c:v>9.16</c:v>
                </c:pt>
                <c:pt idx="3">
                  <c:v>9.25</c:v>
                </c:pt>
                <c:pt idx="4">
                  <c:v>8.64</c:v>
                </c:pt>
                <c:pt idx="5">
                  <c:v>8.3699999999999992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C-43CA-9E5A-C515759EAE09}"/>
            </c:ext>
          </c:extLst>
        </c:ser>
        <c:ser>
          <c:idx val="1"/>
          <c:order val="1"/>
          <c:tx>
            <c:v>pH (Thao - 2019)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Best_Data!$G$44:$G$49</c:f>
              <c:numCache>
                <c:formatCode>General</c:formatCode>
                <c:ptCount val="6"/>
                <c:pt idx="0">
                  <c:v>9.17</c:v>
                </c:pt>
                <c:pt idx="1">
                  <c:v>8.94</c:v>
                </c:pt>
                <c:pt idx="2">
                  <c:v>9.34</c:v>
                </c:pt>
                <c:pt idx="3">
                  <c:v>9.35</c:v>
                </c:pt>
                <c:pt idx="4">
                  <c:v>8.8699999999999992</c:v>
                </c:pt>
                <c:pt idx="5">
                  <c:v>8.83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C-43CA-9E5A-C515759EAE09}"/>
            </c:ext>
          </c:extLst>
        </c:ser>
        <c:ser>
          <c:idx val="2"/>
          <c:order val="2"/>
          <c:tx>
            <c:v>FGL pH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Best_Data!$E$44</c:f>
              <c:numCache>
                <c:formatCode>General</c:formatCode>
                <c:ptCount val="1"/>
                <c:pt idx="0">
                  <c:v>7.77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2C-43CA-9E5A-C515759EA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461504"/>
        <c:axId val="195463040"/>
      </c:barChart>
      <c:catAx>
        <c:axId val="19546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463040"/>
        <c:crosses val="autoZero"/>
        <c:auto val="1"/>
        <c:lblAlgn val="ctr"/>
        <c:lblOffset val="100"/>
        <c:noMultiLvlLbl val="0"/>
      </c:catAx>
      <c:valAx>
        <c:axId val="195463040"/>
        <c:scaling>
          <c:orientation val="minMax"/>
          <c:max val="10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4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6 - pH comparison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pH (Lori - 2018)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Best_Data!$F$56:$F$60</c:f>
              <c:numCache>
                <c:formatCode>General</c:formatCode>
                <c:ptCount val="5"/>
                <c:pt idx="0">
                  <c:v>9.32</c:v>
                </c:pt>
                <c:pt idx="1">
                  <c:v>9.35</c:v>
                </c:pt>
                <c:pt idx="2">
                  <c:v>9.31</c:v>
                </c:pt>
                <c:pt idx="3">
                  <c:v>8.8000000000000007</c:v>
                </c:pt>
                <c:pt idx="4">
                  <c:v>8.0500000000000007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5-4C72-A0A8-E91CB23545EA}"/>
            </c:ext>
          </c:extLst>
        </c:ser>
        <c:ser>
          <c:idx val="1"/>
          <c:order val="1"/>
          <c:tx>
            <c:v>pH (Thao - 2019)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Best_Data!$G$56:$G$60</c:f>
              <c:numCache>
                <c:formatCode>General</c:formatCode>
                <c:ptCount val="5"/>
                <c:pt idx="0">
                  <c:v>9.15</c:v>
                </c:pt>
                <c:pt idx="1">
                  <c:v>9.42</c:v>
                </c:pt>
                <c:pt idx="2">
                  <c:v>9.3000000000000007</c:v>
                </c:pt>
                <c:pt idx="3">
                  <c:v>8.9</c:v>
                </c:pt>
                <c:pt idx="4">
                  <c:v>8.52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5-4C72-A0A8-E91CB23545EA}"/>
            </c:ext>
          </c:extLst>
        </c:ser>
        <c:ser>
          <c:idx val="2"/>
          <c:order val="2"/>
          <c:tx>
            <c:v>FGL pH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Best_Data!$E$56</c:f>
              <c:numCache>
                <c:formatCode>General</c:formatCode>
                <c:ptCount val="1"/>
                <c:pt idx="0">
                  <c:v>8.1300000000000008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D5-4C72-A0A8-E91CB2354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506560"/>
        <c:axId val="195508096"/>
      </c:barChart>
      <c:catAx>
        <c:axId val="19550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508096"/>
        <c:crosses val="autoZero"/>
        <c:auto val="1"/>
        <c:lblAlgn val="ctr"/>
        <c:lblOffset val="100"/>
        <c:noMultiLvlLbl val="0"/>
      </c:catAx>
      <c:valAx>
        <c:axId val="1955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50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7 - pH comparison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pH (Lori - 2018)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Best_Data!$F$66:$F$71</c:f>
              <c:numCache>
                <c:formatCode>General</c:formatCode>
                <c:ptCount val="6"/>
                <c:pt idx="0">
                  <c:v>9.33</c:v>
                </c:pt>
                <c:pt idx="1">
                  <c:v>8.81</c:v>
                </c:pt>
                <c:pt idx="2">
                  <c:v>8.8800000000000008</c:v>
                </c:pt>
                <c:pt idx="3">
                  <c:v>9.32</c:v>
                </c:pt>
                <c:pt idx="4">
                  <c:v>8.61</c:v>
                </c:pt>
                <c:pt idx="5">
                  <c:v>8.42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5-4C72-A0A8-E91CB23545EA}"/>
            </c:ext>
          </c:extLst>
        </c:ser>
        <c:ser>
          <c:idx val="1"/>
          <c:order val="1"/>
          <c:tx>
            <c:v>pH (Thao - 2019)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Best_Data!$G$66:$G$71</c:f>
              <c:numCache>
                <c:formatCode>General</c:formatCode>
                <c:ptCount val="6"/>
                <c:pt idx="0">
                  <c:v>9.2100000000000009</c:v>
                </c:pt>
                <c:pt idx="1">
                  <c:v>8.89</c:v>
                </c:pt>
                <c:pt idx="2">
                  <c:v>8.85</c:v>
                </c:pt>
                <c:pt idx="3">
                  <c:v>9.44</c:v>
                </c:pt>
                <c:pt idx="4">
                  <c:v>8.85</c:v>
                </c:pt>
                <c:pt idx="5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5-4C72-A0A8-E91CB23545EA}"/>
            </c:ext>
          </c:extLst>
        </c:ser>
        <c:ser>
          <c:idx val="2"/>
          <c:order val="2"/>
          <c:tx>
            <c:v>FGL pH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Best_Data!$E$66</c:f>
              <c:numCache>
                <c:formatCode>General</c:formatCode>
                <c:ptCount val="1"/>
                <c:pt idx="0">
                  <c:v>7.99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D5-4C72-A0A8-E91CB2354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553536"/>
        <c:axId val="195563520"/>
      </c:barChart>
      <c:catAx>
        <c:axId val="19555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563520"/>
        <c:crosses val="autoZero"/>
        <c:auto val="1"/>
        <c:lblAlgn val="ctr"/>
        <c:lblOffset val="100"/>
        <c:noMultiLvlLbl val="0"/>
      </c:catAx>
      <c:valAx>
        <c:axId val="19556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55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8 - pH comparison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pH (Lori - 2018)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Best_Data!$F$77:$F$82</c:f>
              <c:numCache>
                <c:formatCode>General</c:formatCode>
                <c:ptCount val="6"/>
                <c:pt idx="0">
                  <c:v>9.0500000000000007</c:v>
                </c:pt>
                <c:pt idx="1">
                  <c:v>9.02</c:v>
                </c:pt>
                <c:pt idx="2">
                  <c:v>9.4499999999999993</c:v>
                </c:pt>
                <c:pt idx="3">
                  <c:v>9.36</c:v>
                </c:pt>
                <c:pt idx="4">
                  <c:v>8.4</c:v>
                </c:pt>
                <c:pt idx="5">
                  <c:v>8.0299999999999994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5-4C72-A0A8-E91CB23545EA}"/>
            </c:ext>
          </c:extLst>
        </c:ser>
        <c:ser>
          <c:idx val="1"/>
          <c:order val="1"/>
          <c:tx>
            <c:v>pH (Thao - 2019)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Best_Data!$H$78:$H$82</c:f>
              <c:numCache>
                <c:formatCode>General</c:formatCode>
                <c:ptCount val="5"/>
                <c:pt idx="0">
                  <c:v>8.92</c:v>
                </c:pt>
                <c:pt idx="1">
                  <c:v>9.35</c:v>
                </c:pt>
                <c:pt idx="2">
                  <c:v>9.2200000000000006</c:v>
                </c:pt>
                <c:pt idx="3">
                  <c:v>8.6</c:v>
                </c:pt>
                <c:pt idx="4">
                  <c:v>8.5500000000000007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5-4C72-A0A8-E91CB23545EA}"/>
            </c:ext>
          </c:extLst>
        </c:ser>
        <c:ser>
          <c:idx val="2"/>
          <c:order val="2"/>
          <c:tx>
            <c:v>FGL pH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Best_Data!$E$77</c:f>
              <c:numCache>
                <c:formatCode>General</c:formatCode>
                <c:ptCount val="1"/>
                <c:pt idx="0">
                  <c:v>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D5-4C72-A0A8-E91CB2354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598976"/>
        <c:axId val="195613056"/>
      </c:barChart>
      <c:catAx>
        <c:axId val="19559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613056"/>
        <c:crosses val="autoZero"/>
        <c:auto val="1"/>
        <c:lblAlgn val="ctr"/>
        <c:lblOffset val="100"/>
        <c:noMultiLvlLbl val="0"/>
      </c:catAx>
      <c:valAx>
        <c:axId val="195613056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59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2 - pH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Auger Hole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Best_Data!$G$13:$G$17</c:f>
              <c:numCache>
                <c:formatCode>General</c:formatCode>
                <c:ptCount val="5"/>
                <c:pt idx="0">
                  <c:v>8.26</c:v>
                </c:pt>
                <c:pt idx="1">
                  <c:v>8.67</c:v>
                </c:pt>
                <c:pt idx="2">
                  <c:v>8.14</c:v>
                </c:pt>
                <c:pt idx="3">
                  <c:v>8.34</c:v>
                </c:pt>
                <c:pt idx="4">
                  <c:v>8.2100000000000009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7-4317-A9B7-472AFADD82B7}"/>
            </c:ext>
          </c:extLst>
        </c:ser>
        <c:ser>
          <c:idx val="1"/>
          <c:order val="1"/>
          <c:tx>
            <c:v>Auger Hole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Best_Data!$G$18:$G$22</c:f>
              <c:numCache>
                <c:formatCode>General</c:formatCode>
                <c:ptCount val="5"/>
                <c:pt idx="0">
                  <c:v>8.43</c:v>
                </c:pt>
                <c:pt idx="1">
                  <c:v>8.5399999999999991</c:v>
                </c:pt>
                <c:pt idx="2">
                  <c:v>8.1300000000000008</c:v>
                </c:pt>
                <c:pt idx="3">
                  <c:v>8.2100000000000009</c:v>
                </c:pt>
                <c:pt idx="4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7-4317-A9B7-472AFADD82B7}"/>
            </c:ext>
          </c:extLst>
        </c:ser>
        <c:ser>
          <c:idx val="2"/>
          <c:order val="2"/>
          <c:tx>
            <c:v>FGL pH</c:v>
          </c:tx>
          <c:invertIfNegative val="0"/>
          <c:val>
            <c:numRef>
              <c:f>Best_Data!$E$13</c:f>
              <c:numCache>
                <c:formatCode>General</c:formatCode>
                <c:ptCount val="1"/>
                <c:pt idx="0">
                  <c:v>8.1199999999999992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4-4391-A45A-6CA35416A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48512"/>
        <c:axId val="195658496"/>
      </c:barChart>
      <c:catAx>
        <c:axId val="19564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658496"/>
        <c:crosses val="autoZero"/>
        <c:auto val="1"/>
        <c:lblAlgn val="ctr"/>
        <c:lblOffset val="100"/>
        <c:noMultiLvlLbl val="0"/>
      </c:catAx>
      <c:valAx>
        <c:axId val="195658496"/>
        <c:scaling>
          <c:orientation val="minMax"/>
          <c:max val="10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64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3 - pH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Auger Hole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Best_Data!$G$23:$G$27</c:f>
              <c:numCache>
                <c:formatCode>General</c:formatCode>
                <c:ptCount val="5"/>
                <c:pt idx="0">
                  <c:v>9.1</c:v>
                </c:pt>
                <c:pt idx="1">
                  <c:v>8.5500000000000007</c:v>
                </c:pt>
                <c:pt idx="2">
                  <c:v>8.27</c:v>
                </c:pt>
                <c:pt idx="3">
                  <c:v>8.18</c:v>
                </c:pt>
                <c:pt idx="4">
                  <c:v>8.27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7-4317-A9B7-472AFADD82B7}"/>
            </c:ext>
          </c:extLst>
        </c:ser>
        <c:ser>
          <c:idx val="1"/>
          <c:order val="1"/>
          <c:tx>
            <c:v>Auger Hole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Best_Data!$G$28:$G$32</c:f>
              <c:numCache>
                <c:formatCode>General</c:formatCode>
                <c:ptCount val="5"/>
                <c:pt idx="0">
                  <c:v>7.58</c:v>
                </c:pt>
                <c:pt idx="1">
                  <c:v>7.87</c:v>
                </c:pt>
                <c:pt idx="2">
                  <c:v>7.52</c:v>
                </c:pt>
                <c:pt idx="3">
                  <c:v>7.65</c:v>
                </c:pt>
                <c:pt idx="4">
                  <c:v>7.49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7-4317-A9B7-472AFADD82B7}"/>
            </c:ext>
          </c:extLst>
        </c:ser>
        <c:ser>
          <c:idx val="2"/>
          <c:order val="2"/>
          <c:tx>
            <c:v>FGL pH</c:v>
          </c:tx>
          <c:invertIfNegative val="0"/>
          <c:val>
            <c:numRef>
              <c:f>Best_Data!$E$23</c:f>
              <c:numCache>
                <c:formatCode>General</c:formatCode>
                <c:ptCount val="1"/>
                <c:pt idx="0">
                  <c:v>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5-4E33-91D0-855771717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89856"/>
        <c:axId val="196482176"/>
      </c:barChart>
      <c:catAx>
        <c:axId val="19568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482176"/>
        <c:crosses val="autoZero"/>
        <c:auto val="1"/>
        <c:lblAlgn val="ctr"/>
        <c:lblOffset val="100"/>
        <c:noMultiLvlLbl val="0"/>
      </c:catAx>
      <c:valAx>
        <c:axId val="196482176"/>
        <c:scaling>
          <c:orientation val="minMax"/>
          <c:max val="10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68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4 - 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Auger Hole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Best_Data!$G$33:$G$37</c:f>
              <c:numCache>
                <c:formatCode>General</c:formatCode>
                <c:ptCount val="5"/>
                <c:pt idx="0">
                  <c:v>8.8000000000000007</c:v>
                </c:pt>
                <c:pt idx="1">
                  <c:v>8.82</c:v>
                </c:pt>
                <c:pt idx="2">
                  <c:v>8.65</c:v>
                </c:pt>
                <c:pt idx="3">
                  <c:v>8.4</c:v>
                </c:pt>
                <c:pt idx="4">
                  <c:v>8.32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7-4317-A9B7-472AFADD82B7}"/>
            </c:ext>
          </c:extLst>
        </c:ser>
        <c:ser>
          <c:idx val="1"/>
          <c:order val="1"/>
          <c:tx>
            <c:v>Auger Hole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Best_Data!$G$38:$G$43</c:f>
              <c:numCache>
                <c:formatCode>General</c:formatCode>
                <c:ptCount val="6"/>
                <c:pt idx="0">
                  <c:v>8.73</c:v>
                </c:pt>
                <c:pt idx="1">
                  <c:v>7.81</c:v>
                </c:pt>
                <c:pt idx="2">
                  <c:v>9.0299999999999994</c:v>
                </c:pt>
                <c:pt idx="3">
                  <c:v>7.6</c:v>
                </c:pt>
                <c:pt idx="4">
                  <c:v>8.33</c:v>
                </c:pt>
                <c:pt idx="5">
                  <c:v>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7-4317-A9B7-472AFADD82B7}"/>
            </c:ext>
          </c:extLst>
        </c:ser>
        <c:ser>
          <c:idx val="2"/>
          <c:order val="2"/>
          <c:tx>
            <c:v>FGL pH</c:v>
          </c:tx>
          <c:invertIfNegative val="0"/>
          <c:val>
            <c:numRef>
              <c:f>Best_Data!$E$33</c:f>
              <c:numCache>
                <c:formatCode>General</c:formatCode>
                <c:ptCount val="1"/>
                <c:pt idx="0">
                  <c:v>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F-4D02-A8C4-C64206FC3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21984"/>
        <c:axId val="196523520"/>
      </c:barChart>
      <c:catAx>
        <c:axId val="19652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523520"/>
        <c:crosses val="autoZero"/>
        <c:auto val="1"/>
        <c:lblAlgn val="ctr"/>
        <c:lblOffset val="100"/>
        <c:noMultiLvlLbl val="0"/>
      </c:catAx>
      <c:valAx>
        <c:axId val="196523520"/>
        <c:scaling>
          <c:orientation val="minMax"/>
          <c:max val="10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52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5 - 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Auger Hole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Best_Data!$G$44:$G$49</c:f>
              <c:numCache>
                <c:formatCode>General</c:formatCode>
                <c:ptCount val="6"/>
                <c:pt idx="0">
                  <c:v>9.17</c:v>
                </c:pt>
                <c:pt idx="1">
                  <c:v>8.94</c:v>
                </c:pt>
                <c:pt idx="2">
                  <c:v>9.34</c:v>
                </c:pt>
                <c:pt idx="3">
                  <c:v>9.35</c:v>
                </c:pt>
                <c:pt idx="4">
                  <c:v>8.8699999999999992</c:v>
                </c:pt>
                <c:pt idx="5">
                  <c:v>8.83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7-4317-A9B7-472AFADD82B7}"/>
            </c:ext>
          </c:extLst>
        </c:ser>
        <c:ser>
          <c:idx val="1"/>
          <c:order val="1"/>
          <c:tx>
            <c:v>Auger Hole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Best_Data!$G$50:$G$55</c:f>
              <c:numCache>
                <c:formatCode>General</c:formatCode>
                <c:ptCount val="6"/>
                <c:pt idx="0">
                  <c:v>8.2899999999999991</c:v>
                </c:pt>
                <c:pt idx="1">
                  <c:v>8.65</c:v>
                </c:pt>
                <c:pt idx="2">
                  <c:v>8.7799999999999994</c:v>
                </c:pt>
                <c:pt idx="3">
                  <c:v>8.4499999999999993</c:v>
                </c:pt>
                <c:pt idx="4">
                  <c:v>8.7899999999999991</c:v>
                </c:pt>
                <c:pt idx="5">
                  <c:v>7.98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7-4317-A9B7-472AFADD82B7}"/>
            </c:ext>
          </c:extLst>
        </c:ser>
        <c:ser>
          <c:idx val="2"/>
          <c:order val="2"/>
          <c:tx>
            <c:v>FGL pH</c:v>
          </c:tx>
          <c:invertIfNegative val="0"/>
          <c:val>
            <c:numRef>
              <c:f>Best_Data!$E$44</c:f>
              <c:numCache>
                <c:formatCode>General</c:formatCode>
                <c:ptCount val="1"/>
                <c:pt idx="0">
                  <c:v>7.77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2-4DA1-9A88-C6214DF51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79712"/>
        <c:axId val="196581248"/>
      </c:barChart>
      <c:catAx>
        <c:axId val="19657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581248"/>
        <c:crosses val="autoZero"/>
        <c:auto val="1"/>
        <c:lblAlgn val="ctr"/>
        <c:lblOffset val="100"/>
        <c:noMultiLvlLbl val="0"/>
      </c:catAx>
      <c:valAx>
        <c:axId val="196581248"/>
        <c:scaling>
          <c:orientation val="minMax"/>
          <c:max val="10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57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6 - 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Auger Hole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Best_Data!$G$56:$G$60</c:f>
              <c:numCache>
                <c:formatCode>General</c:formatCode>
                <c:ptCount val="5"/>
                <c:pt idx="0">
                  <c:v>9.15</c:v>
                </c:pt>
                <c:pt idx="1">
                  <c:v>9.42</c:v>
                </c:pt>
                <c:pt idx="2">
                  <c:v>9.3000000000000007</c:v>
                </c:pt>
                <c:pt idx="3">
                  <c:v>8.9</c:v>
                </c:pt>
                <c:pt idx="4">
                  <c:v>8.52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7-4317-A9B7-472AFADD82B7}"/>
            </c:ext>
          </c:extLst>
        </c:ser>
        <c:ser>
          <c:idx val="1"/>
          <c:order val="1"/>
          <c:tx>
            <c:v>Auger Hole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Best_Data!$G$61:$G$65</c:f>
              <c:numCache>
                <c:formatCode>General</c:formatCode>
                <c:ptCount val="5"/>
                <c:pt idx="0">
                  <c:v>8.31</c:v>
                </c:pt>
                <c:pt idx="1">
                  <c:v>8.52</c:v>
                </c:pt>
                <c:pt idx="2">
                  <c:v>8.44</c:v>
                </c:pt>
                <c:pt idx="3">
                  <c:v>8.25</c:v>
                </c:pt>
                <c:pt idx="4">
                  <c:v>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7-4317-A9B7-472AFADD82B7}"/>
            </c:ext>
          </c:extLst>
        </c:ser>
        <c:ser>
          <c:idx val="2"/>
          <c:order val="2"/>
          <c:tx>
            <c:v>FGL pH</c:v>
          </c:tx>
          <c:invertIfNegative val="0"/>
          <c:val>
            <c:numRef>
              <c:f>Best_Data!$E$56</c:f>
              <c:numCache>
                <c:formatCode>General</c:formatCode>
                <c:ptCount val="1"/>
                <c:pt idx="0">
                  <c:v>8.1300000000000008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0-4524-9DBC-3CC95BDFB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12864"/>
        <c:axId val="196614400"/>
      </c:barChart>
      <c:catAx>
        <c:axId val="19661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614400"/>
        <c:crosses val="autoZero"/>
        <c:auto val="1"/>
        <c:lblAlgn val="ctr"/>
        <c:lblOffset val="100"/>
        <c:noMultiLvlLbl val="0"/>
      </c:catAx>
      <c:valAx>
        <c:axId val="196614400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61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7 - 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Auger Hole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Best_Data!$G$66:$G$71</c:f>
              <c:numCache>
                <c:formatCode>General</c:formatCode>
                <c:ptCount val="6"/>
                <c:pt idx="0">
                  <c:v>9.2100000000000009</c:v>
                </c:pt>
                <c:pt idx="1">
                  <c:v>8.89</c:v>
                </c:pt>
                <c:pt idx="2">
                  <c:v>8.85</c:v>
                </c:pt>
                <c:pt idx="3">
                  <c:v>9.44</c:v>
                </c:pt>
                <c:pt idx="4">
                  <c:v>8.85</c:v>
                </c:pt>
                <c:pt idx="5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7-4317-A9B7-472AFADD82B7}"/>
            </c:ext>
          </c:extLst>
        </c:ser>
        <c:ser>
          <c:idx val="1"/>
          <c:order val="1"/>
          <c:tx>
            <c:v>Auger Hole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Best_Data!$G$72:$G$76</c:f>
              <c:numCache>
                <c:formatCode>General</c:formatCode>
                <c:ptCount val="5"/>
                <c:pt idx="0">
                  <c:v>7.91</c:v>
                </c:pt>
                <c:pt idx="1">
                  <c:v>8.26</c:v>
                </c:pt>
                <c:pt idx="2">
                  <c:v>8.49</c:v>
                </c:pt>
                <c:pt idx="3">
                  <c:v>7.84</c:v>
                </c:pt>
                <c:pt idx="4">
                  <c:v>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7-4317-A9B7-472AFADD82B7}"/>
            </c:ext>
          </c:extLst>
        </c:ser>
        <c:ser>
          <c:idx val="2"/>
          <c:order val="2"/>
          <c:tx>
            <c:v>FGL pH</c:v>
          </c:tx>
          <c:invertIfNegative val="0"/>
          <c:val>
            <c:numRef>
              <c:f>Best_Data!$E$66</c:f>
              <c:numCache>
                <c:formatCode>General</c:formatCode>
                <c:ptCount val="1"/>
                <c:pt idx="0">
                  <c:v>7.99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C-4D4A-BDC7-AD10E1192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46016"/>
        <c:axId val="196647552"/>
      </c:barChart>
      <c:catAx>
        <c:axId val="19664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647552"/>
        <c:crosses val="autoZero"/>
        <c:auto val="1"/>
        <c:lblAlgn val="ctr"/>
        <c:lblOffset val="100"/>
        <c:noMultiLvlLbl val="0"/>
      </c:catAx>
      <c:valAx>
        <c:axId val="196647552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64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8 - 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Auger Hole 1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Best_Data!$F$77:$F$82</c:f>
              <c:numCache>
                <c:formatCode>General</c:formatCode>
                <c:ptCount val="6"/>
                <c:pt idx="0">
                  <c:v>9.0500000000000007</c:v>
                </c:pt>
                <c:pt idx="1">
                  <c:v>9.02</c:v>
                </c:pt>
                <c:pt idx="2">
                  <c:v>9.4499999999999993</c:v>
                </c:pt>
                <c:pt idx="3">
                  <c:v>9.36</c:v>
                </c:pt>
                <c:pt idx="4">
                  <c:v>8.4</c:v>
                </c:pt>
                <c:pt idx="5">
                  <c:v>8.0299999999999994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7-4317-A9B7-472AFADD82B7}"/>
            </c:ext>
          </c:extLst>
        </c:ser>
        <c:ser>
          <c:idx val="1"/>
          <c:order val="1"/>
          <c:tx>
            <c:v>Auger Hole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Best_Data!$H$83:$H$87</c:f>
              <c:numCache>
                <c:formatCode>General</c:formatCode>
                <c:ptCount val="5"/>
                <c:pt idx="0">
                  <c:v>9.17</c:v>
                </c:pt>
                <c:pt idx="1">
                  <c:v>9.18</c:v>
                </c:pt>
                <c:pt idx="2">
                  <c:v>9.44</c:v>
                </c:pt>
                <c:pt idx="3">
                  <c:v>9.81</c:v>
                </c:pt>
                <c:pt idx="4">
                  <c:v>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7-4317-A9B7-472AFADD82B7}"/>
            </c:ext>
          </c:extLst>
        </c:ser>
        <c:ser>
          <c:idx val="2"/>
          <c:order val="2"/>
          <c:tx>
            <c:v>FGL pH</c:v>
          </c:tx>
          <c:invertIfNegative val="0"/>
          <c:val>
            <c:numRef>
              <c:f>Best_Data!$E$77</c:f>
              <c:numCache>
                <c:formatCode>General</c:formatCode>
                <c:ptCount val="1"/>
                <c:pt idx="0">
                  <c:v>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4-49DA-8D38-8D2DF7C57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8432"/>
        <c:axId val="196819968"/>
      </c:barChart>
      <c:catAx>
        <c:axId val="19681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819968"/>
        <c:crosses val="autoZero"/>
        <c:auto val="1"/>
        <c:lblAlgn val="ctr"/>
        <c:lblOffset val="100"/>
        <c:noMultiLvlLbl val="0"/>
      </c:catAx>
      <c:valAx>
        <c:axId val="196819968"/>
        <c:scaling>
          <c:orientation val="minMax"/>
          <c:max val="10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81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1 - EC (µS)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Auger Hole 1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Best_Data!$C$2:$C$7</c:f>
              <c:numCache>
                <c:formatCode>General</c:formatCode>
                <c:ptCount val="6"/>
                <c:pt idx="0">
                  <c:v>300.3</c:v>
                </c:pt>
                <c:pt idx="1">
                  <c:v>599.4</c:v>
                </c:pt>
                <c:pt idx="2">
                  <c:v>818.2</c:v>
                </c:pt>
                <c:pt idx="3">
                  <c:v>372.1</c:v>
                </c:pt>
                <c:pt idx="4">
                  <c:v>2760</c:v>
                </c:pt>
                <c:pt idx="5">
                  <c:v>5010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2-44FF-AE3E-7C3B427D0698}"/>
            </c:ext>
          </c:extLst>
        </c:ser>
        <c:ser>
          <c:idx val="1"/>
          <c:order val="1"/>
          <c:tx>
            <c:v>Auger Hole 2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Best_Data!$C$8:$C$12</c:f>
              <c:numCache>
                <c:formatCode>General</c:formatCode>
                <c:ptCount val="5"/>
                <c:pt idx="0">
                  <c:v>563.29999999999995</c:v>
                </c:pt>
                <c:pt idx="1">
                  <c:v>924.7</c:v>
                </c:pt>
                <c:pt idx="2">
                  <c:v>1287</c:v>
                </c:pt>
                <c:pt idx="3">
                  <c:v>563.1</c:v>
                </c:pt>
                <c:pt idx="4">
                  <c:v>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62-44FF-AE3E-7C3B427D0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43936"/>
        <c:axId val="196745472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FGL pH</c:v>
                </c:tx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Best_Data!$E$2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8.16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A62-44FF-AE3E-7C3B427D0698}"/>
                  </c:ext>
                </c:extLst>
              </c15:ser>
            </c15:filteredBarSeries>
          </c:ext>
        </c:extLst>
      </c:barChart>
      <c:catAx>
        <c:axId val="19674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745472"/>
        <c:crosses val="autoZero"/>
        <c:auto val="1"/>
        <c:lblAlgn val="ctr"/>
        <c:lblOffset val="100"/>
        <c:noMultiLvlLbl val="0"/>
      </c:catAx>
      <c:valAx>
        <c:axId val="196745472"/>
        <c:scaling>
          <c:orientation val="minMax"/>
          <c:max val="5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74393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2 - EC (µS)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Auger Hole 1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Best_Data!$C$13:$C$17</c:f>
              <c:numCache>
                <c:formatCode>General</c:formatCode>
                <c:ptCount val="5"/>
                <c:pt idx="0">
                  <c:v>777.5</c:v>
                </c:pt>
                <c:pt idx="1">
                  <c:v>820</c:v>
                </c:pt>
                <c:pt idx="2">
                  <c:v>441.6</c:v>
                </c:pt>
                <c:pt idx="3">
                  <c:v>423.8</c:v>
                </c:pt>
                <c:pt idx="4">
                  <c:v>2470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1-44C3-8C06-684016D4CB28}"/>
            </c:ext>
          </c:extLst>
        </c:ser>
        <c:ser>
          <c:idx val="1"/>
          <c:order val="1"/>
          <c:tx>
            <c:v>Auger Hole 2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Best_Data!$C$18:$C$22</c:f>
              <c:numCache>
                <c:formatCode>General</c:formatCode>
                <c:ptCount val="5"/>
                <c:pt idx="0">
                  <c:v>660.1</c:v>
                </c:pt>
                <c:pt idx="1">
                  <c:v>711.9</c:v>
                </c:pt>
                <c:pt idx="2">
                  <c:v>380.6</c:v>
                </c:pt>
                <c:pt idx="3">
                  <c:v>1069</c:v>
                </c:pt>
                <c:pt idx="4">
                  <c:v>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1-44C3-8C06-684016D4C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84512"/>
        <c:axId val="19678604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FGL pH</c:v>
                </c:tx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Best_Data!$E$2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8.16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731-44C3-8C06-684016D4CB28}"/>
                  </c:ext>
                </c:extLst>
              </c15:ser>
            </c15:filteredBarSeries>
          </c:ext>
        </c:extLst>
      </c:barChart>
      <c:catAx>
        <c:axId val="19678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786048"/>
        <c:crosses val="autoZero"/>
        <c:auto val="1"/>
        <c:lblAlgn val="ctr"/>
        <c:lblOffset val="100"/>
        <c:noMultiLvlLbl val="0"/>
      </c:catAx>
      <c:valAx>
        <c:axId val="196786048"/>
        <c:scaling>
          <c:orientation val="minMax"/>
          <c:max val="5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78451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3 - EC (µS)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Auger Hole 1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Best_Data!$C$23:$C$27</c:f>
              <c:numCache>
                <c:formatCode>General</c:formatCode>
                <c:ptCount val="5"/>
                <c:pt idx="0">
                  <c:v>721.9</c:v>
                </c:pt>
                <c:pt idx="1">
                  <c:v>629.29999999999995</c:v>
                </c:pt>
                <c:pt idx="2">
                  <c:v>351.9</c:v>
                </c:pt>
                <c:pt idx="3">
                  <c:v>906.4</c:v>
                </c:pt>
                <c:pt idx="4">
                  <c:v>2470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1-44C3-8C06-684016D4CB28}"/>
            </c:ext>
          </c:extLst>
        </c:ser>
        <c:ser>
          <c:idx val="1"/>
          <c:order val="1"/>
          <c:tx>
            <c:v>Auger Hole 2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Best_Data!$C$28:$C$32</c:f>
              <c:numCache>
                <c:formatCode>General</c:formatCode>
                <c:ptCount val="5"/>
                <c:pt idx="0">
                  <c:v>505.7</c:v>
                </c:pt>
                <c:pt idx="1">
                  <c:v>504.8</c:v>
                </c:pt>
                <c:pt idx="2">
                  <c:v>460</c:v>
                </c:pt>
                <c:pt idx="3">
                  <c:v>447.8</c:v>
                </c:pt>
                <c:pt idx="4">
                  <c:v>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1-44C3-8C06-684016D4C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76928"/>
        <c:axId val="141923456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FGL pH</c:v>
                </c:tx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Best_Data!$E$2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8.16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731-44C3-8C06-684016D4CB28}"/>
                  </c:ext>
                </c:extLst>
              </c15:ser>
            </c15:filteredBarSeries>
          </c:ext>
        </c:extLst>
      </c:barChart>
      <c:catAx>
        <c:axId val="14167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923456"/>
        <c:crosses val="autoZero"/>
        <c:auto val="1"/>
        <c:lblAlgn val="ctr"/>
        <c:lblOffset val="100"/>
        <c:noMultiLvlLbl val="0"/>
      </c:catAx>
      <c:valAx>
        <c:axId val="141923456"/>
        <c:scaling>
          <c:orientation val="minMax"/>
          <c:max val="5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676928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4 - EC (µS)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Auger Hole 1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Best_Data!$C$33:$C$37</c:f>
              <c:numCache>
                <c:formatCode>General</c:formatCode>
                <c:ptCount val="5"/>
                <c:pt idx="0">
                  <c:v>495.5</c:v>
                </c:pt>
                <c:pt idx="1">
                  <c:v>668</c:v>
                </c:pt>
                <c:pt idx="2">
                  <c:v>469.7</c:v>
                </c:pt>
                <c:pt idx="3">
                  <c:v>430.1</c:v>
                </c:pt>
                <c:pt idx="4">
                  <c:v>2490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1-44C3-8C06-684016D4CB28}"/>
            </c:ext>
          </c:extLst>
        </c:ser>
        <c:ser>
          <c:idx val="1"/>
          <c:order val="1"/>
          <c:tx>
            <c:v>Auger Hole 2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Best_Data!$C$38:$C$43</c:f>
              <c:numCache>
                <c:formatCode>General</c:formatCode>
                <c:ptCount val="6"/>
                <c:pt idx="0">
                  <c:v>443.9</c:v>
                </c:pt>
                <c:pt idx="1">
                  <c:v>591.79999999999995</c:v>
                </c:pt>
                <c:pt idx="2">
                  <c:v>500.6</c:v>
                </c:pt>
                <c:pt idx="3">
                  <c:v>437.8</c:v>
                </c:pt>
                <c:pt idx="4">
                  <c:v>2010</c:v>
                </c:pt>
                <c:pt idx="5">
                  <c:v>3240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1-44C3-8C06-684016D4C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02688"/>
        <c:axId val="143390592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FGL pH</c:v>
                </c:tx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Best_Data!$E$2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8.16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731-44C3-8C06-684016D4CB28}"/>
                  </c:ext>
                </c:extLst>
              </c15:ser>
            </c15:filteredBarSeries>
          </c:ext>
        </c:extLst>
      </c:barChart>
      <c:catAx>
        <c:axId val="14240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3390592"/>
        <c:crosses val="autoZero"/>
        <c:auto val="1"/>
        <c:lblAlgn val="ctr"/>
        <c:lblOffset val="100"/>
        <c:noMultiLvlLbl val="0"/>
      </c:catAx>
      <c:valAx>
        <c:axId val="143390592"/>
        <c:scaling>
          <c:orientation val="minMax"/>
          <c:max val="5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402688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5 - EC (µS)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Auger Hole 1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Best_Data!$C$44:$C$49</c:f>
              <c:numCache>
                <c:formatCode>General</c:formatCode>
                <c:ptCount val="6"/>
                <c:pt idx="0">
                  <c:v>865.1</c:v>
                </c:pt>
                <c:pt idx="1">
                  <c:v>964.8</c:v>
                </c:pt>
                <c:pt idx="2">
                  <c:v>503.4</c:v>
                </c:pt>
                <c:pt idx="3">
                  <c:v>307.8</c:v>
                </c:pt>
                <c:pt idx="4">
                  <c:v>1077</c:v>
                </c:pt>
                <c:pt idx="5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1-44C3-8C06-684016D4CB28}"/>
            </c:ext>
          </c:extLst>
        </c:ser>
        <c:ser>
          <c:idx val="1"/>
          <c:order val="1"/>
          <c:tx>
            <c:v>Auger Hole 2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Best_Data!$C$50:$C$55</c:f>
              <c:numCache>
                <c:formatCode>General</c:formatCode>
                <c:ptCount val="6"/>
                <c:pt idx="0">
                  <c:v>651.5</c:v>
                </c:pt>
                <c:pt idx="1">
                  <c:v>570.1</c:v>
                </c:pt>
                <c:pt idx="2">
                  <c:v>329.4</c:v>
                </c:pt>
                <c:pt idx="3">
                  <c:v>260.60000000000002</c:v>
                </c:pt>
                <c:pt idx="4">
                  <c:v>420.2</c:v>
                </c:pt>
                <c:pt idx="5">
                  <c:v>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1-44C3-8C06-684016D4C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26304"/>
        <c:axId val="1984140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FGL pH</c:v>
                </c:tx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Best_Data!$E$2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8.16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731-44C3-8C06-684016D4CB28}"/>
                  </c:ext>
                </c:extLst>
              </c15:ser>
            </c15:filteredBarSeries>
          </c:ext>
        </c:extLst>
      </c:barChart>
      <c:catAx>
        <c:axId val="174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41408"/>
        <c:crosses val="autoZero"/>
        <c:auto val="1"/>
        <c:lblAlgn val="ctr"/>
        <c:lblOffset val="100"/>
        <c:noMultiLvlLbl val="0"/>
      </c:catAx>
      <c:valAx>
        <c:axId val="19841408"/>
        <c:scaling>
          <c:orientation val="minMax"/>
          <c:max val="5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426304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6 - EC (µS)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Auger Hole 1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Best_Data!$C$56:$C$60</c:f>
              <c:numCache>
                <c:formatCode>General</c:formatCode>
                <c:ptCount val="5"/>
                <c:pt idx="0">
                  <c:v>799.6</c:v>
                </c:pt>
                <c:pt idx="1">
                  <c:v>595.5</c:v>
                </c:pt>
                <c:pt idx="2">
                  <c:v>525</c:v>
                </c:pt>
                <c:pt idx="3">
                  <c:v>1240</c:v>
                </c:pt>
                <c:pt idx="4">
                  <c:v>2430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1-44C3-8C06-684016D4CB28}"/>
            </c:ext>
          </c:extLst>
        </c:ser>
        <c:ser>
          <c:idx val="1"/>
          <c:order val="1"/>
          <c:tx>
            <c:v>Auger Hole 2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Best_Data!$C$61:$C$65</c:f>
              <c:numCache>
                <c:formatCode>General</c:formatCode>
                <c:ptCount val="5"/>
                <c:pt idx="0">
                  <c:v>621.5</c:v>
                </c:pt>
                <c:pt idx="1">
                  <c:v>590.6</c:v>
                </c:pt>
                <c:pt idx="2">
                  <c:v>497.8</c:v>
                </c:pt>
                <c:pt idx="3">
                  <c:v>386.6</c:v>
                </c:pt>
                <c:pt idx="4">
                  <c:v>3550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1-44C3-8C06-684016D4C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912896"/>
        <c:axId val="14091878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FGL pH</c:v>
                </c:tx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Best_Data!$E$2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8.16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731-44C3-8C06-684016D4CB28}"/>
                  </c:ext>
                </c:extLst>
              </c15:ser>
            </c15:filteredBarSeries>
          </c:ext>
        </c:extLst>
      </c:barChart>
      <c:catAx>
        <c:axId val="14091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0918784"/>
        <c:crosses val="autoZero"/>
        <c:auto val="1"/>
        <c:lblAlgn val="ctr"/>
        <c:lblOffset val="100"/>
        <c:noMultiLvlLbl val="0"/>
      </c:catAx>
      <c:valAx>
        <c:axId val="140918784"/>
        <c:scaling>
          <c:orientation val="minMax"/>
          <c:max val="5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091289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7 - EC (µS)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Auger Hole 1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Best_Data!$C$66:$C$71</c:f>
              <c:numCache>
                <c:formatCode>General</c:formatCode>
                <c:ptCount val="6"/>
                <c:pt idx="0">
                  <c:v>673.9</c:v>
                </c:pt>
                <c:pt idx="1">
                  <c:v>689.8</c:v>
                </c:pt>
                <c:pt idx="2">
                  <c:v>507.2</c:v>
                </c:pt>
                <c:pt idx="3">
                  <c:v>362.6</c:v>
                </c:pt>
                <c:pt idx="4">
                  <c:v>1310</c:v>
                </c:pt>
                <c:pt idx="5">
                  <c:v>2830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1-44C3-8C06-684016D4CB28}"/>
            </c:ext>
          </c:extLst>
        </c:ser>
        <c:ser>
          <c:idx val="1"/>
          <c:order val="1"/>
          <c:tx>
            <c:v>Auger Hole 2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Best_Data!$C$72:$C$76</c:f>
              <c:numCache>
                <c:formatCode>General</c:formatCode>
                <c:ptCount val="5"/>
                <c:pt idx="0">
                  <c:v>376.3</c:v>
                </c:pt>
                <c:pt idx="1">
                  <c:v>435.8</c:v>
                </c:pt>
                <c:pt idx="2">
                  <c:v>484.5</c:v>
                </c:pt>
                <c:pt idx="3">
                  <c:v>613.5</c:v>
                </c:pt>
                <c:pt idx="4">
                  <c:v>2830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1-44C3-8C06-684016D4C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413184"/>
        <c:axId val="2033664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FGL pH</c:v>
                </c:tx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Best_Data!$E$2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8.16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731-44C3-8C06-684016D4CB28}"/>
                  </c:ext>
                </c:extLst>
              </c15:ser>
            </c15:filteredBarSeries>
          </c:ext>
        </c:extLst>
      </c:barChart>
      <c:catAx>
        <c:axId val="14041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36640"/>
        <c:crosses val="autoZero"/>
        <c:auto val="1"/>
        <c:lblAlgn val="ctr"/>
        <c:lblOffset val="100"/>
        <c:noMultiLvlLbl val="0"/>
      </c:catAx>
      <c:valAx>
        <c:axId val="20336640"/>
        <c:scaling>
          <c:orientation val="minMax"/>
          <c:max val="5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0413184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Plot 8 - EC (µS)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Auger Hole 1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Best_Data!$C$77:$C$82</c:f>
              <c:numCache>
                <c:formatCode>General</c:formatCode>
                <c:ptCount val="6"/>
                <c:pt idx="0">
                  <c:v>453.1</c:v>
                </c:pt>
                <c:pt idx="1">
                  <c:v>535.6</c:v>
                </c:pt>
                <c:pt idx="2">
                  <c:v>437.7</c:v>
                </c:pt>
                <c:pt idx="3">
                  <c:v>435.8</c:v>
                </c:pt>
                <c:pt idx="4">
                  <c:v>2270</c:v>
                </c:pt>
                <c:pt idx="5">
                  <c:v>4210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1-44C3-8C06-684016D4CB28}"/>
            </c:ext>
          </c:extLst>
        </c:ser>
        <c:ser>
          <c:idx val="1"/>
          <c:order val="1"/>
          <c:tx>
            <c:v>Auger Hole 2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Best_Data!$C$83:$C$87</c:f>
              <c:numCache>
                <c:formatCode>General</c:formatCode>
                <c:ptCount val="5"/>
                <c:pt idx="0">
                  <c:v>1154</c:v>
                </c:pt>
                <c:pt idx="1">
                  <c:v>973.5</c:v>
                </c:pt>
                <c:pt idx="2">
                  <c:v>699.7</c:v>
                </c:pt>
                <c:pt idx="3">
                  <c:v>456.7</c:v>
                </c:pt>
                <c:pt idx="4">
                  <c:v>3430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1-44C3-8C06-684016D4C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547904"/>
        <c:axId val="21956198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FGL pH</c:v>
                </c:tx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Best_Data!$E$2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8.16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731-44C3-8C06-684016D4CB28}"/>
                  </c:ext>
                </c:extLst>
              </c15:ser>
            </c15:filteredBarSeries>
          </c:ext>
        </c:extLst>
      </c:barChart>
      <c:catAx>
        <c:axId val="21954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561984"/>
        <c:crosses val="autoZero"/>
        <c:auto val="1"/>
        <c:lblAlgn val="ctr"/>
        <c:lblOffset val="100"/>
        <c:noMultiLvlLbl val="0"/>
      </c:catAx>
      <c:valAx>
        <c:axId val="219561984"/>
        <c:scaling>
          <c:orientation val="minMax"/>
          <c:max val="5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547904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Site pH - Auger Hole 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Plot 1 (BC-0C)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Best_Data!$G$2:$G$7</c:f>
              <c:numCache>
                <c:formatCode>General</c:formatCode>
                <c:ptCount val="6"/>
                <c:pt idx="0">
                  <c:v>8.89</c:v>
                </c:pt>
                <c:pt idx="1">
                  <c:v>8.34</c:v>
                </c:pt>
                <c:pt idx="2">
                  <c:v>7.93</c:v>
                </c:pt>
                <c:pt idx="3">
                  <c:v>8.4600000000000009</c:v>
                </c:pt>
                <c:pt idx="4">
                  <c:v>8.17</c:v>
                </c:pt>
                <c:pt idx="5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6-4E31-8544-7D3E4CACF4D4}"/>
            </c:ext>
          </c:extLst>
        </c:ser>
        <c:ser>
          <c:idx val="0"/>
          <c:order val="1"/>
          <c:tx>
            <c:v>Plot 2 (BC-BC)</c:v>
          </c:tx>
          <c:invertIfNegative val="0"/>
          <c:val>
            <c:numRef>
              <c:f>Best_Data!$G$13:$G$17</c:f>
              <c:numCache>
                <c:formatCode>General</c:formatCode>
                <c:ptCount val="5"/>
                <c:pt idx="0">
                  <c:v>8.26</c:v>
                </c:pt>
                <c:pt idx="1">
                  <c:v>8.67</c:v>
                </c:pt>
                <c:pt idx="2">
                  <c:v>8.14</c:v>
                </c:pt>
                <c:pt idx="3">
                  <c:v>8.34</c:v>
                </c:pt>
                <c:pt idx="4">
                  <c:v>8.2100000000000009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D6-4E31-8544-7D3E4CACF4D4}"/>
            </c:ext>
          </c:extLst>
        </c:ser>
        <c:ser>
          <c:idx val="2"/>
          <c:order val="2"/>
          <c:tx>
            <c:v>Plot 3 (0C-BC)</c:v>
          </c:tx>
          <c:invertIfNegative val="0"/>
          <c:val>
            <c:numRef>
              <c:f>Best_Data!$G$23:$G$27</c:f>
              <c:numCache>
                <c:formatCode>General</c:formatCode>
                <c:ptCount val="5"/>
                <c:pt idx="0">
                  <c:v>9.1</c:v>
                </c:pt>
                <c:pt idx="1">
                  <c:v>8.5500000000000007</c:v>
                </c:pt>
                <c:pt idx="2">
                  <c:v>8.27</c:v>
                </c:pt>
                <c:pt idx="3">
                  <c:v>8.18</c:v>
                </c:pt>
                <c:pt idx="4">
                  <c:v>8.27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D6-4E31-8544-7D3E4CACF4D4}"/>
            </c:ext>
          </c:extLst>
        </c:ser>
        <c:ser>
          <c:idx val="3"/>
          <c:order val="3"/>
          <c:tx>
            <c:v>Plot 4 (0C-0C)</c:v>
          </c:tx>
          <c:invertIfNegative val="0"/>
          <c:val>
            <c:numRef>
              <c:f>Best_Data!$G$33:$G$37</c:f>
              <c:numCache>
                <c:formatCode>General</c:formatCode>
                <c:ptCount val="5"/>
                <c:pt idx="0">
                  <c:v>8.8000000000000007</c:v>
                </c:pt>
                <c:pt idx="1">
                  <c:v>8.82</c:v>
                </c:pt>
                <c:pt idx="2">
                  <c:v>8.65</c:v>
                </c:pt>
                <c:pt idx="3">
                  <c:v>8.4</c:v>
                </c:pt>
                <c:pt idx="4">
                  <c:v>8.32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D6-4E31-8544-7D3E4CACF4D4}"/>
            </c:ext>
          </c:extLst>
        </c:ser>
        <c:ser>
          <c:idx val="4"/>
          <c:order val="4"/>
          <c:tx>
            <c:v>Plot 5 (BC-00)</c:v>
          </c:tx>
          <c:invertIfNegative val="0"/>
          <c:val>
            <c:numRef>
              <c:f>Best_Data!$G$44:$G$49</c:f>
              <c:numCache>
                <c:formatCode>General</c:formatCode>
                <c:ptCount val="6"/>
                <c:pt idx="0">
                  <c:v>9.17</c:v>
                </c:pt>
                <c:pt idx="1">
                  <c:v>8.94</c:v>
                </c:pt>
                <c:pt idx="2">
                  <c:v>9.34</c:v>
                </c:pt>
                <c:pt idx="3">
                  <c:v>9.35</c:v>
                </c:pt>
                <c:pt idx="4">
                  <c:v>8.8699999999999992</c:v>
                </c:pt>
                <c:pt idx="5">
                  <c:v>8.83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D6-4E31-8544-7D3E4CACF4D4}"/>
            </c:ext>
          </c:extLst>
        </c:ser>
        <c:ser>
          <c:idx val="5"/>
          <c:order val="5"/>
          <c:tx>
            <c:v>Plot 6 (BC-B0)</c:v>
          </c:tx>
          <c:invertIfNegative val="0"/>
          <c:val>
            <c:numRef>
              <c:f>Best_Data!$G$56:$G$60</c:f>
              <c:numCache>
                <c:formatCode>General</c:formatCode>
                <c:ptCount val="5"/>
                <c:pt idx="0">
                  <c:v>9.15</c:v>
                </c:pt>
                <c:pt idx="1">
                  <c:v>9.42</c:v>
                </c:pt>
                <c:pt idx="2">
                  <c:v>9.3000000000000007</c:v>
                </c:pt>
                <c:pt idx="3">
                  <c:v>8.9</c:v>
                </c:pt>
                <c:pt idx="4">
                  <c:v>8.52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D6-4E31-8544-7D3E4CACF4D4}"/>
            </c:ext>
          </c:extLst>
        </c:ser>
        <c:ser>
          <c:idx val="6"/>
          <c:order val="6"/>
          <c:tx>
            <c:v>Plot 7 (0C-B0)</c:v>
          </c:tx>
          <c:invertIfNegative val="0"/>
          <c:val>
            <c:numRef>
              <c:f>Best_Data!$G$66:$G$71</c:f>
              <c:numCache>
                <c:formatCode>General</c:formatCode>
                <c:ptCount val="6"/>
                <c:pt idx="0">
                  <c:v>9.2100000000000009</c:v>
                </c:pt>
                <c:pt idx="1">
                  <c:v>8.89</c:v>
                </c:pt>
                <c:pt idx="2">
                  <c:v>8.85</c:v>
                </c:pt>
                <c:pt idx="3">
                  <c:v>9.44</c:v>
                </c:pt>
                <c:pt idx="4">
                  <c:v>8.85</c:v>
                </c:pt>
                <c:pt idx="5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D6-4E31-8544-7D3E4CACF4D4}"/>
            </c:ext>
          </c:extLst>
        </c:ser>
        <c:ser>
          <c:idx val="7"/>
          <c:order val="7"/>
          <c:tx>
            <c:v>Plot 8 (0C-00)</c:v>
          </c:tx>
          <c:spPr>
            <a:solidFill>
              <a:schemeClr val="accent2">
                <a:lumMod val="50000"/>
              </a:schemeClr>
            </a:solidFill>
          </c:spPr>
          <c:invertIfNegative val="0"/>
          <c:val>
            <c:numRef>
              <c:f>Best_Data!$F$77:$F$82</c:f>
              <c:numCache>
                <c:formatCode>General</c:formatCode>
                <c:ptCount val="6"/>
                <c:pt idx="0">
                  <c:v>9.0500000000000007</c:v>
                </c:pt>
                <c:pt idx="1">
                  <c:v>9.02</c:v>
                </c:pt>
                <c:pt idx="2">
                  <c:v>9.4499999999999993</c:v>
                </c:pt>
                <c:pt idx="3">
                  <c:v>9.36</c:v>
                </c:pt>
                <c:pt idx="4">
                  <c:v>8.4</c:v>
                </c:pt>
                <c:pt idx="5">
                  <c:v>8.0299999999999994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CD6-4E31-8544-7D3E4CACF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805568"/>
        <c:axId val="195807488"/>
      </c:barChart>
      <c:catAx>
        <c:axId val="19580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Sample</a:t>
                </a:r>
                <a:r>
                  <a:rPr lang="en-US" baseline="0"/>
                  <a:t> Depth (cm)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807488"/>
        <c:crosses val="autoZero"/>
        <c:auto val="1"/>
        <c:lblAlgn val="ctr"/>
        <c:lblOffset val="100"/>
        <c:noMultiLvlLbl val="0"/>
      </c:catAx>
      <c:valAx>
        <c:axId val="195807488"/>
        <c:scaling>
          <c:orientation val="minMax"/>
          <c:max val="10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pH</a:t>
                </a:r>
              </a:p>
            </c:rich>
          </c:tx>
          <c:layout>
            <c:manualLayout>
              <c:xMode val="edge"/>
              <c:yMode val="edge"/>
              <c:x val="1.1778563015312132E-2"/>
              <c:y val="0.407213779678229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805568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Site pH - Auger Hole 2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Plot 1 (BC-0C)</c:v>
          </c:tx>
          <c:invertIfNegative val="0"/>
          <c:cat>
            <c:strRef>
              <c:f>Best_Data!$B$2:$B$7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Best_Data!$G$8:$G$12</c:f>
              <c:numCache>
                <c:formatCode>General</c:formatCode>
                <c:ptCount val="5"/>
                <c:pt idx="0">
                  <c:v>7.67</c:v>
                </c:pt>
                <c:pt idx="1">
                  <c:v>7.65</c:v>
                </c:pt>
                <c:pt idx="2">
                  <c:v>8.8699999999999992</c:v>
                </c:pt>
                <c:pt idx="3">
                  <c:v>9.19</c:v>
                </c:pt>
                <c:pt idx="4">
                  <c:v>8.77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A-4832-8794-098413E7F256}"/>
            </c:ext>
          </c:extLst>
        </c:ser>
        <c:ser>
          <c:idx val="0"/>
          <c:order val="1"/>
          <c:tx>
            <c:v>Plot 2 (BC-BC)</c:v>
          </c:tx>
          <c:invertIfNegative val="0"/>
          <c:val>
            <c:numRef>
              <c:f>Best_Data!$G$18:$G$22</c:f>
              <c:numCache>
                <c:formatCode>General</c:formatCode>
                <c:ptCount val="5"/>
                <c:pt idx="0">
                  <c:v>8.43</c:v>
                </c:pt>
                <c:pt idx="1">
                  <c:v>8.5399999999999991</c:v>
                </c:pt>
                <c:pt idx="2">
                  <c:v>8.1300000000000008</c:v>
                </c:pt>
                <c:pt idx="3">
                  <c:v>8.2100000000000009</c:v>
                </c:pt>
                <c:pt idx="4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A-4832-8794-098413E7F256}"/>
            </c:ext>
          </c:extLst>
        </c:ser>
        <c:ser>
          <c:idx val="2"/>
          <c:order val="2"/>
          <c:tx>
            <c:v>Plot 3 (0C-BC)</c:v>
          </c:tx>
          <c:invertIfNegative val="0"/>
          <c:val>
            <c:numRef>
              <c:f>Best_Data!$G$28:$G$32</c:f>
              <c:numCache>
                <c:formatCode>General</c:formatCode>
                <c:ptCount val="5"/>
                <c:pt idx="0">
                  <c:v>7.58</c:v>
                </c:pt>
                <c:pt idx="1">
                  <c:v>7.87</c:v>
                </c:pt>
                <c:pt idx="2">
                  <c:v>7.52</c:v>
                </c:pt>
                <c:pt idx="3">
                  <c:v>7.65</c:v>
                </c:pt>
                <c:pt idx="4">
                  <c:v>7.49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AA-4832-8794-098413E7F256}"/>
            </c:ext>
          </c:extLst>
        </c:ser>
        <c:ser>
          <c:idx val="3"/>
          <c:order val="3"/>
          <c:tx>
            <c:v>Plot 4 (0C-0C)</c:v>
          </c:tx>
          <c:invertIfNegative val="0"/>
          <c:val>
            <c:numRef>
              <c:f>Best_Data!$G$38:$G$43</c:f>
              <c:numCache>
                <c:formatCode>General</c:formatCode>
                <c:ptCount val="6"/>
                <c:pt idx="0">
                  <c:v>8.73</c:v>
                </c:pt>
                <c:pt idx="1">
                  <c:v>7.81</c:v>
                </c:pt>
                <c:pt idx="2">
                  <c:v>9.0299999999999994</c:v>
                </c:pt>
                <c:pt idx="3">
                  <c:v>7.6</c:v>
                </c:pt>
                <c:pt idx="4">
                  <c:v>8.33</c:v>
                </c:pt>
                <c:pt idx="5">
                  <c:v>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AA-4832-8794-098413E7F256}"/>
            </c:ext>
          </c:extLst>
        </c:ser>
        <c:ser>
          <c:idx val="4"/>
          <c:order val="4"/>
          <c:tx>
            <c:v>Plot 5 (BC-00)</c:v>
          </c:tx>
          <c:invertIfNegative val="0"/>
          <c:val>
            <c:numRef>
              <c:f>Best_Data!$G$50:$G$55</c:f>
              <c:numCache>
                <c:formatCode>General</c:formatCode>
                <c:ptCount val="6"/>
                <c:pt idx="0">
                  <c:v>8.2899999999999991</c:v>
                </c:pt>
                <c:pt idx="1">
                  <c:v>8.65</c:v>
                </c:pt>
                <c:pt idx="2">
                  <c:v>8.7799999999999994</c:v>
                </c:pt>
                <c:pt idx="3">
                  <c:v>8.4499999999999993</c:v>
                </c:pt>
                <c:pt idx="4">
                  <c:v>8.7899999999999991</c:v>
                </c:pt>
                <c:pt idx="5">
                  <c:v>7.98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AA-4832-8794-098413E7F256}"/>
            </c:ext>
          </c:extLst>
        </c:ser>
        <c:ser>
          <c:idx val="5"/>
          <c:order val="5"/>
          <c:tx>
            <c:v>Plot 6 (BC-B0)</c:v>
          </c:tx>
          <c:invertIfNegative val="0"/>
          <c:val>
            <c:numRef>
              <c:f>Best_Data!$G$61:$G$65</c:f>
              <c:numCache>
                <c:formatCode>General</c:formatCode>
                <c:ptCount val="5"/>
                <c:pt idx="0">
                  <c:v>8.31</c:v>
                </c:pt>
                <c:pt idx="1">
                  <c:v>8.52</c:v>
                </c:pt>
                <c:pt idx="2">
                  <c:v>8.44</c:v>
                </c:pt>
                <c:pt idx="3">
                  <c:v>8.25</c:v>
                </c:pt>
                <c:pt idx="4">
                  <c:v>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AA-4832-8794-098413E7F256}"/>
            </c:ext>
          </c:extLst>
        </c:ser>
        <c:ser>
          <c:idx val="6"/>
          <c:order val="6"/>
          <c:tx>
            <c:v>Plot 7 (0C-B0)</c:v>
          </c:tx>
          <c:invertIfNegative val="0"/>
          <c:val>
            <c:numRef>
              <c:f>Best_Data!$G$72:$G$76</c:f>
              <c:numCache>
                <c:formatCode>General</c:formatCode>
                <c:ptCount val="5"/>
                <c:pt idx="0">
                  <c:v>7.91</c:v>
                </c:pt>
                <c:pt idx="1">
                  <c:v>8.26</c:v>
                </c:pt>
                <c:pt idx="2">
                  <c:v>8.49</c:v>
                </c:pt>
                <c:pt idx="3">
                  <c:v>7.84</c:v>
                </c:pt>
                <c:pt idx="4">
                  <c:v>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AA-4832-8794-098413E7F256}"/>
            </c:ext>
          </c:extLst>
        </c:ser>
        <c:ser>
          <c:idx val="7"/>
          <c:order val="7"/>
          <c:tx>
            <c:v>Plot 8 (0C-00)</c:v>
          </c:tx>
          <c:invertIfNegative val="0"/>
          <c:val>
            <c:numRef>
              <c:f>Best_Data!$H$83:$H$87</c:f>
              <c:numCache>
                <c:formatCode>General</c:formatCode>
                <c:ptCount val="5"/>
                <c:pt idx="0">
                  <c:v>9.17</c:v>
                </c:pt>
                <c:pt idx="1">
                  <c:v>9.18</c:v>
                </c:pt>
                <c:pt idx="2">
                  <c:v>9.44</c:v>
                </c:pt>
                <c:pt idx="3">
                  <c:v>9.81</c:v>
                </c:pt>
                <c:pt idx="4">
                  <c:v>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AA-4832-8794-098413E7F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805568"/>
        <c:axId val="195807488"/>
      </c:barChart>
      <c:catAx>
        <c:axId val="19580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Sample</a:t>
                </a:r>
                <a:r>
                  <a:rPr lang="en-US" baseline="0"/>
                  <a:t> Depth (cm)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807488"/>
        <c:crosses val="autoZero"/>
        <c:auto val="1"/>
        <c:lblAlgn val="ctr"/>
        <c:lblOffset val="100"/>
        <c:noMultiLvlLbl val="0"/>
      </c:catAx>
      <c:valAx>
        <c:axId val="195807488"/>
        <c:scaling>
          <c:orientation val="minMax"/>
          <c:max val="10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pH</a:t>
                </a:r>
              </a:p>
            </c:rich>
          </c:tx>
          <c:layout>
            <c:manualLayout>
              <c:xMode val="edge"/>
              <c:yMode val="edge"/>
              <c:x val="1.1778563015312132E-2"/>
              <c:y val="0.407213779678229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805568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-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Site EC (µS) - Auger Hole 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Plot 1 (BC-0C)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Best_Data!$B$2:$B$7</c15:sqref>
                  </c15:fullRef>
                </c:ext>
              </c:extLst>
              <c:f>Best_Data!$B$2:$B$5</c:f>
              <c:strCache>
                <c:ptCount val="4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Best_Data!$C$2:$C$7</c15:sqref>
                  </c15:fullRef>
                </c:ext>
              </c:extLst>
              <c:f>Best_Data!$C$2:$C$5</c:f>
              <c:numCache>
                <c:formatCode>General</c:formatCode>
                <c:ptCount val="4"/>
                <c:pt idx="0">
                  <c:v>300.3</c:v>
                </c:pt>
                <c:pt idx="1">
                  <c:v>599.4</c:v>
                </c:pt>
                <c:pt idx="2">
                  <c:v>818.2</c:v>
                </c:pt>
                <c:pt idx="3">
                  <c:v>372.1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D-4F7C-A837-E009F00BDD5E}"/>
            </c:ext>
          </c:extLst>
        </c:ser>
        <c:ser>
          <c:idx val="0"/>
          <c:order val="1"/>
          <c:tx>
            <c:v>Plot 2 (BC-BC)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0-15</c:v>
              </c:pt>
              <c:pt idx="1">
                <c:v>15-30</c:v>
              </c:pt>
              <c:pt idx="2">
                <c:v>30-45</c:v>
              </c:pt>
              <c:pt idx="3">
                <c:v>45-60</c:v>
              </c:pt>
              <c:pt idx="4">
                <c:v>75-90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Best_Data!$C$13:$C$17</c15:sqref>
                  </c15:fullRef>
                </c:ext>
              </c:extLst>
              <c:f>Best_Data!$C$13:$C$16</c:f>
              <c:numCache>
                <c:formatCode>General</c:formatCode>
                <c:ptCount val="4"/>
                <c:pt idx="0">
                  <c:v>777.5</c:v>
                </c:pt>
                <c:pt idx="1">
                  <c:v>820</c:v>
                </c:pt>
                <c:pt idx="2">
                  <c:v>441.6</c:v>
                </c:pt>
                <c:pt idx="3">
                  <c:v>423.8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5D-4F7C-A837-E009F00BDD5E}"/>
            </c:ext>
          </c:extLst>
        </c:ser>
        <c:ser>
          <c:idx val="2"/>
          <c:order val="2"/>
          <c:tx>
            <c:v>Plot 3 (0C-BC)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0-15</c:v>
              </c:pt>
              <c:pt idx="1">
                <c:v>15-30</c:v>
              </c:pt>
              <c:pt idx="2">
                <c:v>30-45</c:v>
              </c:pt>
              <c:pt idx="3">
                <c:v>45-60</c:v>
              </c:pt>
              <c:pt idx="4">
                <c:v>75-90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Best_Data!$C$23:$C$27</c15:sqref>
                  </c15:fullRef>
                </c:ext>
              </c:extLst>
              <c:f>Best_Data!$C$23:$C$26</c:f>
              <c:numCache>
                <c:formatCode>General</c:formatCode>
                <c:ptCount val="4"/>
                <c:pt idx="0">
                  <c:v>721.9</c:v>
                </c:pt>
                <c:pt idx="1">
                  <c:v>629.29999999999995</c:v>
                </c:pt>
                <c:pt idx="2">
                  <c:v>351.9</c:v>
                </c:pt>
                <c:pt idx="3">
                  <c:v>906.4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5D-4F7C-A837-E009F00BDD5E}"/>
            </c:ext>
          </c:extLst>
        </c:ser>
        <c:ser>
          <c:idx val="3"/>
          <c:order val="3"/>
          <c:tx>
            <c:v>Plot 4 (0C-0C)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0-15</c:v>
              </c:pt>
              <c:pt idx="1">
                <c:v>15-30</c:v>
              </c:pt>
              <c:pt idx="2">
                <c:v>30-45</c:v>
              </c:pt>
              <c:pt idx="3">
                <c:v>45-60</c:v>
              </c:pt>
              <c:pt idx="4">
                <c:v>75-90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Best_Data!$C$33:$C$37</c15:sqref>
                  </c15:fullRef>
                </c:ext>
              </c:extLst>
              <c:f>Best_Data!$C$33:$C$36</c:f>
              <c:numCache>
                <c:formatCode>General</c:formatCode>
                <c:ptCount val="4"/>
                <c:pt idx="0">
                  <c:v>495.5</c:v>
                </c:pt>
                <c:pt idx="1">
                  <c:v>668</c:v>
                </c:pt>
                <c:pt idx="2">
                  <c:v>469.7</c:v>
                </c:pt>
                <c:pt idx="3">
                  <c:v>430.1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5D-4F7C-A837-E009F00BDD5E}"/>
            </c:ext>
          </c:extLst>
        </c:ser>
        <c:ser>
          <c:idx val="4"/>
          <c:order val="4"/>
          <c:tx>
            <c:v>Plot 5 (BC-00)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0-15</c:v>
              </c:pt>
              <c:pt idx="1">
                <c:v>15-30</c:v>
              </c:pt>
              <c:pt idx="2">
                <c:v>30-45</c:v>
              </c:pt>
              <c:pt idx="3">
                <c:v>45-60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Best_Data!$C$44:$C$49</c15:sqref>
                  </c15:fullRef>
                </c:ext>
              </c:extLst>
              <c:f>Best_Data!$C$44:$C$47</c:f>
              <c:numCache>
                <c:formatCode>General</c:formatCode>
                <c:ptCount val="4"/>
                <c:pt idx="0">
                  <c:v>865.1</c:v>
                </c:pt>
                <c:pt idx="1">
                  <c:v>964.8</c:v>
                </c:pt>
                <c:pt idx="2">
                  <c:v>503.4</c:v>
                </c:pt>
                <c:pt idx="3">
                  <c:v>307.8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5D-4F7C-A837-E009F00BDD5E}"/>
            </c:ext>
          </c:extLst>
        </c:ser>
        <c:ser>
          <c:idx val="5"/>
          <c:order val="5"/>
          <c:tx>
            <c:v>Plot 6 (BC-B0)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0-15</c:v>
              </c:pt>
              <c:pt idx="1">
                <c:v>15-30</c:v>
              </c:pt>
              <c:pt idx="2">
                <c:v>30-45</c:v>
              </c:pt>
              <c:pt idx="3">
                <c:v>45-60</c:v>
              </c:pt>
              <c:pt idx="4">
                <c:v>75-90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Best_Data!$C$56:$C$60</c15:sqref>
                  </c15:fullRef>
                </c:ext>
              </c:extLst>
              <c:f>Best_Data!$C$56:$C$59</c:f>
              <c:numCache>
                <c:formatCode>General</c:formatCode>
                <c:ptCount val="4"/>
                <c:pt idx="0">
                  <c:v>799.6</c:v>
                </c:pt>
                <c:pt idx="1">
                  <c:v>595.5</c:v>
                </c:pt>
                <c:pt idx="2">
                  <c:v>525</c:v>
                </c:pt>
                <c:pt idx="3">
                  <c:v>1240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5D-4F7C-A837-E009F00BDD5E}"/>
            </c:ext>
          </c:extLst>
        </c:ser>
        <c:ser>
          <c:idx val="6"/>
          <c:order val="6"/>
          <c:tx>
            <c:v>Plot 7 (0C-B0)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0-15</c:v>
              </c:pt>
              <c:pt idx="1">
                <c:v>15-30</c:v>
              </c:pt>
              <c:pt idx="2">
                <c:v>30-45</c:v>
              </c:pt>
              <c:pt idx="3">
                <c:v>45-60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Best_Data!$C$66:$C$71</c15:sqref>
                  </c15:fullRef>
                </c:ext>
              </c:extLst>
              <c:f>Best_Data!$C$66:$C$69</c:f>
              <c:numCache>
                <c:formatCode>General</c:formatCode>
                <c:ptCount val="4"/>
                <c:pt idx="0">
                  <c:v>673.9</c:v>
                </c:pt>
                <c:pt idx="1">
                  <c:v>689.8</c:v>
                </c:pt>
                <c:pt idx="2">
                  <c:v>507.2</c:v>
                </c:pt>
                <c:pt idx="3">
                  <c:v>362.6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5D-4F7C-A837-E009F00BDD5E}"/>
            </c:ext>
          </c:extLst>
        </c:ser>
        <c:ser>
          <c:idx val="7"/>
          <c:order val="7"/>
          <c:tx>
            <c:v>Plot 8 (0C-00)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0-15</c:v>
              </c:pt>
              <c:pt idx="1">
                <c:v>15-30</c:v>
              </c:pt>
              <c:pt idx="2">
                <c:v>30-45</c:v>
              </c:pt>
              <c:pt idx="3">
                <c:v>45-60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Best_Data!$C$77:$C$82</c15:sqref>
                  </c15:fullRef>
                </c:ext>
              </c:extLst>
              <c:f>Best_Data!$C$77:$C$80</c:f>
              <c:numCache>
                <c:formatCode>General</c:formatCode>
                <c:ptCount val="4"/>
                <c:pt idx="0">
                  <c:v>453.1</c:v>
                </c:pt>
                <c:pt idx="1">
                  <c:v>535.6</c:v>
                </c:pt>
                <c:pt idx="2">
                  <c:v>437.7</c:v>
                </c:pt>
                <c:pt idx="3">
                  <c:v>435.8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D5D-4F7C-A837-E009F00BD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805568"/>
        <c:axId val="195807488"/>
      </c:barChart>
      <c:catAx>
        <c:axId val="19580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Sample</a:t>
                </a:r>
                <a:r>
                  <a:rPr lang="en-US" baseline="0"/>
                  <a:t> Depth (cm)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807488"/>
        <c:crosses val="autoZero"/>
        <c:auto val="1"/>
        <c:lblAlgn val="ctr"/>
        <c:lblOffset val="100"/>
        <c:noMultiLvlLbl val="0"/>
      </c:catAx>
      <c:valAx>
        <c:axId val="195807488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EC (µS)</a:t>
                </a:r>
              </a:p>
            </c:rich>
          </c:tx>
          <c:layout>
            <c:manualLayout>
              <c:xMode val="edge"/>
              <c:yMode val="edge"/>
              <c:x val="1.1778563015312132E-2"/>
              <c:y val="0.407213779678229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805568"/>
        <c:crosses val="autoZero"/>
        <c:crossBetween val="between"/>
        <c:majorUnit val="300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400050</xdr:colOff>
      <xdr:row>1</xdr:row>
      <xdr:rowOff>49530</xdr:rowOff>
    </xdr:from>
    <xdr:to>
      <xdr:col>18</xdr:col>
      <xdr:colOff>304800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514350</xdr:colOff>
      <xdr:row>39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285750</xdr:colOff>
      <xdr:row>1</xdr:row>
      <xdr:rowOff>95250</xdr:rowOff>
    </xdr:from>
    <xdr:to>
      <xdr:col>37</xdr:col>
      <xdr:colOff>190500</xdr:colOff>
      <xdr:row>19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381000</xdr:colOff>
      <xdr:row>20</xdr:row>
      <xdr:rowOff>57150</xdr:rowOff>
    </xdr:from>
    <xdr:to>
      <xdr:col>37</xdr:col>
      <xdr:colOff>285750</xdr:colOff>
      <xdr:row>38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57150</xdr:colOff>
      <xdr:row>41</xdr:row>
      <xdr:rowOff>38100</xdr:rowOff>
    </xdr:from>
    <xdr:to>
      <xdr:col>27</xdr:col>
      <xdr:colOff>571500</xdr:colOff>
      <xdr:row>59</xdr:row>
      <xdr:rowOff>64770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40</xdr:row>
      <xdr:rowOff>0</xdr:rowOff>
    </xdr:from>
    <xdr:to>
      <xdr:col>18</xdr:col>
      <xdr:colOff>495300</xdr:colOff>
      <xdr:row>58</xdr:row>
      <xdr:rowOff>26670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60</xdr:row>
      <xdr:rowOff>0</xdr:rowOff>
    </xdr:from>
    <xdr:to>
      <xdr:col>18</xdr:col>
      <xdr:colOff>495300</xdr:colOff>
      <xdr:row>78</xdr:row>
      <xdr:rowOff>26670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80</xdr:row>
      <xdr:rowOff>0</xdr:rowOff>
    </xdr:from>
    <xdr:to>
      <xdr:col>18</xdr:col>
      <xdr:colOff>495300</xdr:colOff>
      <xdr:row>98</xdr:row>
      <xdr:rowOff>26670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0</xdr:colOff>
      <xdr:row>100</xdr:row>
      <xdr:rowOff>0</xdr:rowOff>
    </xdr:from>
    <xdr:to>
      <xdr:col>18</xdr:col>
      <xdr:colOff>514350</xdr:colOff>
      <xdr:row>118</xdr:row>
      <xdr:rowOff>26670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0</xdr:colOff>
      <xdr:row>120</xdr:row>
      <xdr:rowOff>0</xdr:rowOff>
    </xdr:from>
    <xdr:to>
      <xdr:col>18</xdr:col>
      <xdr:colOff>514350</xdr:colOff>
      <xdr:row>138</xdr:row>
      <xdr:rowOff>26670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0</xdr:colOff>
      <xdr:row>140</xdr:row>
      <xdr:rowOff>0</xdr:rowOff>
    </xdr:from>
    <xdr:to>
      <xdr:col>18</xdr:col>
      <xdr:colOff>514350</xdr:colOff>
      <xdr:row>158</xdr:row>
      <xdr:rowOff>26670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219075</xdr:colOff>
      <xdr:row>61</xdr:row>
      <xdr:rowOff>19050</xdr:rowOff>
    </xdr:from>
    <xdr:to>
      <xdr:col>28</xdr:col>
      <xdr:colOff>123825</xdr:colOff>
      <xdr:row>79</xdr:row>
      <xdr:rowOff>45720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28</xdr:col>
      <xdr:colOff>0</xdr:colOff>
      <xdr:row>41</xdr:row>
      <xdr:rowOff>0</xdr:rowOff>
    </xdr:from>
    <xdr:to>
      <xdr:col>36</xdr:col>
      <xdr:colOff>514350</xdr:colOff>
      <xdr:row>59</xdr:row>
      <xdr:rowOff>26670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28</xdr:col>
      <xdr:colOff>0</xdr:colOff>
      <xdr:row>61</xdr:row>
      <xdr:rowOff>0</xdr:rowOff>
    </xdr:from>
    <xdr:to>
      <xdr:col>36</xdr:col>
      <xdr:colOff>514350</xdr:colOff>
      <xdr:row>79</xdr:row>
      <xdr:rowOff>26670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28</xdr:col>
      <xdr:colOff>0</xdr:colOff>
      <xdr:row>81</xdr:row>
      <xdr:rowOff>0</xdr:rowOff>
    </xdr:from>
    <xdr:to>
      <xdr:col>36</xdr:col>
      <xdr:colOff>514350</xdr:colOff>
      <xdr:row>99</xdr:row>
      <xdr:rowOff>26670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0</xdr:colOff>
      <xdr:row>101</xdr:row>
      <xdr:rowOff>0</xdr:rowOff>
    </xdr:from>
    <xdr:to>
      <xdr:col>36</xdr:col>
      <xdr:colOff>514350</xdr:colOff>
      <xdr:row>119</xdr:row>
      <xdr:rowOff>26670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28</xdr:col>
      <xdr:colOff>0</xdr:colOff>
      <xdr:row>121</xdr:row>
      <xdr:rowOff>0</xdr:rowOff>
    </xdr:from>
    <xdr:to>
      <xdr:col>36</xdr:col>
      <xdr:colOff>514350</xdr:colOff>
      <xdr:row>139</xdr:row>
      <xdr:rowOff>26670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28</xdr:col>
      <xdr:colOff>0</xdr:colOff>
      <xdr:row>141</xdr:row>
      <xdr:rowOff>0</xdr:rowOff>
    </xdr:from>
    <xdr:to>
      <xdr:col>36</xdr:col>
      <xdr:colOff>514350</xdr:colOff>
      <xdr:row>159</xdr:row>
      <xdr:rowOff>26670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38</xdr:col>
      <xdr:colOff>0</xdr:colOff>
      <xdr:row>1</xdr:row>
      <xdr:rowOff>0</xdr:rowOff>
    </xdr:from>
    <xdr:to>
      <xdr:col>46</xdr:col>
      <xdr:colOff>514350</xdr:colOff>
      <xdr:row>19</xdr:row>
      <xdr:rowOff>26670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38</xdr:col>
      <xdr:colOff>0</xdr:colOff>
      <xdr:row>20</xdr:row>
      <xdr:rowOff>0</xdr:rowOff>
    </xdr:from>
    <xdr:to>
      <xdr:col>46</xdr:col>
      <xdr:colOff>514350</xdr:colOff>
      <xdr:row>38</xdr:row>
      <xdr:rowOff>26670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38</xdr:col>
      <xdr:colOff>0</xdr:colOff>
      <xdr:row>41</xdr:row>
      <xdr:rowOff>0</xdr:rowOff>
    </xdr:from>
    <xdr:to>
      <xdr:col>46</xdr:col>
      <xdr:colOff>514350</xdr:colOff>
      <xdr:row>59</xdr:row>
      <xdr:rowOff>26670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38</xdr:col>
      <xdr:colOff>0</xdr:colOff>
      <xdr:row>61</xdr:row>
      <xdr:rowOff>0</xdr:rowOff>
    </xdr:from>
    <xdr:to>
      <xdr:col>46</xdr:col>
      <xdr:colOff>514350</xdr:colOff>
      <xdr:row>79</xdr:row>
      <xdr:rowOff>26670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38</xdr:col>
      <xdr:colOff>0</xdr:colOff>
      <xdr:row>82</xdr:row>
      <xdr:rowOff>0</xdr:rowOff>
    </xdr:from>
    <xdr:to>
      <xdr:col>46</xdr:col>
      <xdr:colOff>514350</xdr:colOff>
      <xdr:row>100</xdr:row>
      <xdr:rowOff>26670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38</xdr:col>
      <xdr:colOff>0</xdr:colOff>
      <xdr:row>101</xdr:row>
      <xdr:rowOff>0</xdr:rowOff>
    </xdr:from>
    <xdr:to>
      <xdr:col>46</xdr:col>
      <xdr:colOff>514350</xdr:colOff>
      <xdr:row>119</xdr:row>
      <xdr:rowOff>26670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38</xdr:col>
      <xdr:colOff>0</xdr:colOff>
      <xdr:row>120</xdr:row>
      <xdr:rowOff>0</xdr:rowOff>
    </xdr:from>
    <xdr:to>
      <xdr:col>46</xdr:col>
      <xdr:colOff>514350</xdr:colOff>
      <xdr:row>138</xdr:row>
      <xdr:rowOff>26670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38</xdr:col>
      <xdr:colOff>0</xdr:colOff>
      <xdr:row>140</xdr:row>
      <xdr:rowOff>0</xdr:rowOff>
    </xdr:from>
    <xdr:to>
      <xdr:col>46</xdr:col>
      <xdr:colOff>514350</xdr:colOff>
      <xdr:row>158</xdr:row>
      <xdr:rowOff>26670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19</xdr:col>
      <xdr:colOff>0</xdr:colOff>
      <xdr:row>2</xdr:row>
      <xdr:rowOff>0</xdr:rowOff>
    </xdr:from>
    <xdr:to>
      <xdr:col>27</xdr:col>
      <xdr:colOff>514350</xdr:colOff>
      <xdr:row>20</xdr:row>
      <xdr:rowOff>26670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D8A1286B-0D7F-49A3-AD1B-F3CEFFCA8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19</xdr:col>
      <xdr:colOff>0</xdr:colOff>
      <xdr:row>22</xdr:row>
      <xdr:rowOff>0</xdr:rowOff>
    </xdr:from>
    <xdr:to>
      <xdr:col>27</xdr:col>
      <xdr:colOff>514350</xdr:colOff>
      <xdr:row>40</xdr:row>
      <xdr:rowOff>26670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7568027-B7DB-49D8-AACA-E1C35CD3A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47</xdr:col>
      <xdr:colOff>0</xdr:colOff>
      <xdr:row>1</xdr:row>
      <xdr:rowOff>0</xdr:rowOff>
    </xdr:from>
    <xdr:to>
      <xdr:col>55</xdr:col>
      <xdr:colOff>514350</xdr:colOff>
      <xdr:row>19</xdr:row>
      <xdr:rowOff>26670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83E88A2D-C524-45DD-B13B-D381BFD14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9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" sqref="H1"/>
    </sheetView>
  </sheetViews>
  <sheetFormatPr defaultColWidth="8.85546875" defaultRowHeight="15" x14ac:dyDescent="0.25"/>
  <cols>
    <col min="1" max="1" width="15.7109375" bestFit="1" customWidth="1"/>
    <col min="2" max="2" width="13.28515625" bestFit="1" customWidth="1"/>
    <col min="3" max="3" width="20.42578125" bestFit="1" customWidth="1"/>
    <col min="4" max="4" width="18.7109375" customWidth="1"/>
    <col min="5" max="5" width="12.42578125" customWidth="1"/>
    <col min="6" max="6" width="14.28515625" bestFit="1" customWidth="1"/>
    <col min="7" max="7" width="15.28515625" bestFit="1" customWidth="1"/>
    <col min="8" max="8" width="16.28515625" customWidth="1"/>
    <col min="9" max="9" width="13.28515625" bestFit="1" customWidth="1"/>
    <col min="10" max="10" width="10.5703125" bestFit="1" customWidth="1"/>
  </cols>
  <sheetData>
    <row r="1" spans="1:9" ht="30" x14ac:dyDescent="0.25">
      <c r="A1" s="1" t="s">
        <v>0</v>
      </c>
      <c r="B1" s="1" t="s">
        <v>186</v>
      </c>
      <c r="C1" s="11" t="s">
        <v>185</v>
      </c>
      <c r="D1" s="11" t="s">
        <v>198</v>
      </c>
      <c r="E1" s="11" t="s">
        <v>193</v>
      </c>
      <c r="F1" s="3" t="s">
        <v>79</v>
      </c>
      <c r="G1" s="1" t="s">
        <v>80</v>
      </c>
      <c r="H1" s="4" t="s">
        <v>111</v>
      </c>
      <c r="I1" s="19" t="s">
        <v>199</v>
      </c>
    </row>
    <row r="2" spans="1:9" x14ac:dyDescent="0.25">
      <c r="A2" t="s">
        <v>1</v>
      </c>
      <c r="B2" t="s">
        <v>187</v>
      </c>
      <c r="C2" s="8">
        <v>300.3</v>
      </c>
      <c r="D2" s="8">
        <v>417.8</v>
      </c>
      <c r="E2" s="8">
        <v>8.16</v>
      </c>
      <c r="F2">
        <v>9.42</v>
      </c>
      <c r="G2">
        <v>8.89</v>
      </c>
      <c r="I2" s="8">
        <v>9.1</v>
      </c>
    </row>
    <row r="3" spans="1:9" x14ac:dyDescent="0.25">
      <c r="A3" t="s">
        <v>2</v>
      </c>
      <c r="B3" t="s">
        <v>188</v>
      </c>
      <c r="C3" s="8">
        <v>599.4</v>
      </c>
      <c r="D3" s="8">
        <v>527</v>
      </c>
      <c r="E3" s="8"/>
      <c r="F3">
        <v>8.93</v>
      </c>
      <c r="G3">
        <v>8.34</v>
      </c>
      <c r="I3" s="8">
        <v>8.7200000000000006</v>
      </c>
    </row>
    <row r="4" spans="1:9" x14ac:dyDescent="0.25">
      <c r="A4" t="s">
        <v>3</v>
      </c>
      <c r="B4" t="s">
        <v>189</v>
      </c>
      <c r="C4" s="8">
        <v>818.2</v>
      </c>
      <c r="D4" s="8">
        <v>760.8</v>
      </c>
      <c r="E4" s="8"/>
      <c r="F4">
        <v>8.7200000000000006</v>
      </c>
      <c r="G4">
        <v>7.93</v>
      </c>
      <c r="I4" s="8">
        <v>8.4499999999999993</v>
      </c>
    </row>
    <row r="5" spans="1:9" x14ac:dyDescent="0.25">
      <c r="A5" t="s">
        <v>4</v>
      </c>
      <c r="B5" t="s">
        <v>190</v>
      </c>
      <c r="C5" s="8">
        <v>372.1</v>
      </c>
      <c r="D5" s="8">
        <v>357.9</v>
      </c>
      <c r="E5" s="8"/>
      <c r="F5">
        <v>9.4</v>
      </c>
      <c r="G5">
        <v>8.4600000000000009</v>
      </c>
      <c r="I5" s="8">
        <v>8.33</v>
      </c>
    </row>
    <row r="6" spans="1:9" x14ac:dyDescent="0.25">
      <c r="A6" t="s">
        <v>5</v>
      </c>
      <c r="B6" t="s">
        <v>191</v>
      </c>
      <c r="C6" s="8">
        <v>2760</v>
      </c>
      <c r="D6" s="8"/>
      <c r="E6" s="8"/>
      <c r="F6">
        <v>8.4499999999999993</v>
      </c>
      <c r="G6">
        <v>8.17</v>
      </c>
      <c r="I6" s="8"/>
    </row>
    <row r="7" spans="1:9" x14ac:dyDescent="0.25">
      <c r="A7" t="s">
        <v>6</v>
      </c>
      <c r="B7" t="s">
        <v>192</v>
      </c>
      <c r="C7" s="8">
        <v>5010</v>
      </c>
      <c r="D7" s="8"/>
      <c r="E7" s="8"/>
      <c r="F7">
        <v>8.44</v>
      </c>
      <c r="G7">
        <v>8.1999999999999993</v>
      </c>
      <c r="I7" s="8"/>
    </row>
    <row r="8" spans="1:9" x14ac:dyDescent="0.25">
      <c r="A8" t="s">
        <v>84</v>
      </c>
      <c r="C8" s="8">
        <v>563.29999999999995</v>
      </c>
      <c r="D8" s="8">
        <v>649.5</v>
      </c>
      <c r="E8" s="8"/>
      <c r="G8">
        <v>7.67</v>
      </c>
      <c r="I8" s="8">
        <v>8.92</v>
      </c>
    </row>
    <row r="9" spans="1:9" x14ac:dyDescent="0.25">
      <c r="A9" t="s">
        <v>85</v>
      </c>
      <c r="C9" s="8">
        <v>924.7</v>
      </c>
      <c r="D9" s="8">
        <v>823</v>
      </c>
      <c r="E9" s="8"/>
      <c r="G9">
        <v>7.65</v>
      </c>
      <c r="I9" s="8">
        <v>8.86</v>
      </c>
    </row>
    <row r="10" spans="1:9" x14ac:dyDescent="0.25">
      <c r="A10" s="5" t="s">
        <v>86</v>
      </c>
      <c r="B10" s="5"/>
      <c r="C10" s="8">
        <v>1287</v>
      </c>
      <c r="D10" s="8">
        <v>1243</v>
      </c>
      <c r="E10" s="8"/>
      <c r="G10">
        <v>8.8699999999999992</v>
      </c>
      <c r="I10" s="8">
        <v>8.32</v>
      </c>
    </row>
    <row r="11" spans="1:9" x14ac:dyDescent="0.25">
      <c r="A11" s="5" t="s">
        <v>87</v>
      </c>
      <c r="B11" s="5"/>
      <c r="C11" s="8">
        <v>563.1</v>
      </c>
      <c r="D11" s="8">
        <v>536.4</v>
      </c>
      <c r="E11" s="8"/>
      <c r="G11">
        <v>9.19</v>
      </c>
      <c r="I11" s="8">
        <v>8.91</v>
      </c>
    </row>
    <row r="12" spans="1:9" x14ac:dyDescent="0.25">
      <c r="A12" s="5" t="s">
        <v>88</v>
      </c>
      <c r="B12" s="5"/>
      <c r="C12" s="8">
        <v>1745</v>
      </c>
      <c r="D12" s="8"/>
      <c r="E12" s="8"/>
      <c r="G12">
        <v>8.77</v>
      </c>
      <c r="I12" s="8"/>
    </row>
    <row r="13" spans="1:9" x14ac:dyDescent="0.25">
      <c r="A13" t="s">
        <v>7</v>
      </c>
      <c r="C13" s="8">
        <v>777.5</v>
      </c>
      <c r="D13" s="8">
        <v>743.5</v>
      </c>
      <c r="E13" s="8">
        <v>8.1199999999999992</v>
      </c>
      <c r="F13">
        <v>9.0399999999999991</v>
      </c>
      <c r="G13" s="8">
        <v>8.26</v>
      </c>
      <c r="I13" s="8">
        <v>8.39</v>
      </c>
    </row>
    <row r="14" spans="1:9" x14ac:dyDescent="0.25">
      <c r="A14" t="s">
        <v>8</v>
      </c>
      <c r="C14" s="8">
        <v>820</v>
      </c>
      <c r="D14" s="8">
        <v>744.7</v>
      </c>
      <c r="E14" s="8"/>
      <c r="F14">
        <v>9.2100000000000009</v>
      </c>
      <c r="G14" s="8">
        <v>8.67</v>
      </c>
      <c r="I14" s="8">
        <v>8.67</v>
      </c>
    </row>
    <row r="15" spans="1:9" x14ac:dyDescent="0.25">
      <c r="A15" t="s">
        <v>9</v>
      </c>
      <c r="C15" s="8">
        <v>441.6</v>
      </c>
      <c r="D15" s="8">
        <v>455.5</v>
      </c>
      <c r="E15" s="8"/>
      <c r="F15">
        <v>9.0500000000000007</v>
      </c>
      <c r="G15" s="8">
        <v>8.14</v>
      </c>
      <c r="I15" s="8">
        <v>8.49</v>
      </c>
    </row>
    <row r="16" spans="1:9" x14ac:dyDescent="0.25">
      <c r="A16" t="s">
        <v>10</v>
      </c>
      <c r="C16" s="8">
        <v>423.8</v>
      </c>
      <c r="D16" s="8">
        <v>449.9</v>
      </c>
      <c r="E16" s="8"/>
      <c r="F16">
        <v>9.24</v>
      </c>
      <c r="G16" s="8">
        <v>8.34</v>
      </c>
      <c r="I16" s="8">
        <v>8.75</v>
      </c>
    </row>
    <row r="17" spans="1:9" x14ac:dyDescent="0.25">
      <c r="A17" t="s">
        <v>127</v>
      </c>
      <c r="C17" s="8">
        <v>2470</v>
      </c>
      <c r="D17" s="8">
        <v>2420</v>
      </c>
      <c r="E17" s="8"/>
      <c r="G17" s="8">
        <v>8.2100000000000009</v>
      </c>
      <c r="I17" s="8">
        <v>8.18</v>
      </c>
    </row>
    <row r="18" spans="1:9" x14ac:dyDescent="0.25">
      <c r="A18" t="s">
        <v>128</v>
      </c>
      <c r="C18" s="8">
        <v>660.1</v>
      </c>
      <c r="D18" s="8">
        <v>675.2</v>
      </c>
      <c r="E18" s="8"/>
      <c r="G18" s="8">
        <v>8.43</v>
      </c>
      <c r="I18" s="8">
        <v>8.69</v>
      </c>
    </row>
    <row r="19" spans="1:9" x14ac:dyDescent="0.25">
      <c r="A19" t="s">
        <v>129</v>
      </c>
      <c r="C19" s="8">
        <v>711.9</v>
      </c>
      <c r="D19" s="8">
        <v>687.6</v>
      </c>
      <c r="E19" s="8"/>
      <c r="G19" s="8">
        <v>8.5399999999999991</v>
      </c>
      <c r="I19" s="8">
        <v>8.8000000000000007</v>
      </c>
    </row>
    <row r="20" spans="1:9" x14ac:dyDescent="0.25">
      <c r="A20" t="s">
        <v>130</v>
      </c>
      <c r="C20" s="8">
        <v>380.6</v>
      </c>
      <c r="D20" s="8">
        <v>283.60000000000002</v>
      </c>
      <c r="E20" s="8"/>
      <c r="G20" s="8">
        <v>8.1300000000000008</v>
      </c>
      <c r="I20" s="8">
        <v>8.69</v>
      </c>
    </row>
    <row r="21" spans="1:9" x14ac:dyDescent="0.25">
      <c r="A21" t="s">
        <v>131</v>
      </c>
      <c r="C21" s="8">
        <v>1069</v>
      </c>
      <c r="D21" s="8">
        <v>869.5</v>
      </c>
      <c r="E21" s="8"/>
      <c r="G21" s="8">
        <v>8.2100000000000009</v>
      </c>
      <c r="I21" s="8">
        <v>8.44</v>
      </c>
    </row>
    <row r="22" spans="1:9" x14ac:dyDescent="0.25">
      <c r="A22" t="s">
        <v>132</v>
      </c>
      <c r="C22" s="8">
        <v>2060</v>
      </c>
      <c r="D22" s="8">
        <v>1991</v>
      </c>
      <c r="E22" s="8"/>
      <c r="G22" s="8">
        <v>8.3000000000000007</v>
      </c>
      <c r="I22" s="8">
        <v>8.18</v>
      </c>
    </row>
    <row r="23" spans="1:9" x14ac:dyDescent="0.25">
      <c r="A23" t="s">
        <v>11</v>
      </c>
      <c r="C23" s="8">
        <v>721.9</v>
      </c>
      <c r="D23" s="8">
        <v>1016</v>
      </c>
      <c r="E23" s="8">
        <v>7.58</v>
      </c>
      <c r="F23">
        <v>8.83</v>
      </c>
      <c r="G23" s="8">
        <v>9.1</v>
      </c>
      <c r="I23" s="8">
        <v>7.66</v>
      </c>
    </row>
    <row r="24" spans="1:9" x14ac:dyDescent="0.25">
      <c r="A24" t="s">
        <v>12</v>
      </c>
      <c r="C24" s="8">
        <v>629.29999999999995</v>
      </c>
      <c r="D24" s="8">
        <v>695.5</v>
      </c>
      <c r="E24" s="8"/>
      <c r="F24">
        <v>8.92</v>
      </c>
      <c r="G24" s="8">
        <v>8.5500000000000007</v>
      </c>
      <c r="I24" s="8">
        <v>8.77</v>
      </c>
    </row>
    <row r="25" spans="1:9" x14ac:dyDescent="0.25">
      <c r="A25" t="s">
        <v>13</v>
      </c>
      <c r="C25" s="8">
        <v>351.9</v>
      </c>
      <c r="D25" s="8">
        <v>391.6</v>
      </c>
      <c r="E25" s="8"/>
      <c r="F25">
        <v>8.75</v>
      </c>
      <c r="G25" s="8">
        <v>8.27</v>
      </c>
      <c r="I25" s="8">
        <v>8.43</v>
      </c>
    </row>
    <row r="26" spans="1:9" x14ac:dyDescent="0.25">
      <c r="A26" t="s">
        <v>14</v>
      </c>
      <c r="C26" s="8">
        <v>906.4</v>
      </c>
      <c r="D26" s="8">
        <v>829.9</v>
      </c>
      <c r="E26" s="8"/>
      <c r="F26">
        <v>8.83</v>
      </c>
      <c r="G26" s="8">
        <v>8.18</v>
      </c>
      <c r="I26" s="8">
        <v>8.52</v>
      </c>
    </row>
    <row r="27" spans="1:9" x14ac:dyDescent="0.25">
      <c r="A27" t="s">
        <v>15</v>
      </c>
      <c r="C27" s="8">
        <v>2470</v>
      </c>
      <c r="D27" s="8"/>
      <c r="E27" s="8"/>
      <c r="F27">
        <v>8.4499999999999993</v>
      </c>
      <c r="G27" s="8">
        <v>8.27</v>
      </c>
      <c r="I27" s="8"/>
    </row>
    <row r="28" spans="1:9" x14ac:dyDescent="0.25">
      <c r="A28" s="5" t="s">
        <v>89</v>
      </c>
      <c r="B28" s="5"/>
      <c r="C28" s="8">
        <v>505.7</v>
      </c>
      <c r="D28" s="8">
        <v>590.29999999999995</v>
      </c>
      <c r="E28" s="8"/>
      <c r="G28" s="5">
        <v>7.58</v>
      </c>
      <c r="I28" s="8">
        <v>8.31</v>
      </c>
    </row>
    <row r="29" spans="1:9" x14ac:dyDescent="0.25">
      <c r="A29" s="5" t="s">
        <v>90</v>
      </c>
      <c r="B29" s="5"/>
      <c r="C29" s="8">
        <v>504.8</v>
      </c>
      <c r="D29" s="8">
        <v>542.4</v>
      </c>
      <c r="E29" s="8"/>
      <c r="G29" s="5">
        <v>7.87</v>
      </c>
      <c r="I29" s="8">
        <v>8.92</v>
      </c>
    </row>
    <row r="30" spans="1:9" x14ac:dyDescent="0.25">
      <c r="A30" s="5" t="s">
        <v>91</v>
      </c>
      <c r="B30" s="5"/>
      <c r="C30" s="8">
        <v>460</v>
      </c>
      <c r="D30" s="8">
        <v>572.5</v>
      </c>
      <c r="E30" s="8"/>
      <c r="G30" s="5">
        <v>7.52</v>
      </c>
      <c r="I30" s="8">
        <v>8.4</v>
      </c>
    </row>
    <row r="31" spans="1:9" x14ac:dyDescent="0.25">
      <c r="A31" s="5" t="s">
        <v>92</v>
      </c>
      <c r="B31" s="5"/>
      <c r="C31" s="8">
        <v>447.8</v>
      </c>
      <c r="D31" s="8">
        <v>478.5</v>
      </c>
      <c r="E31" s="8"/>
      <c r="G31" s="5">
        <v>7.65</v>
      </c>
      <c r="I31" s="8">
        <v>8.84</v>
      </c>
    </row>
    <row r="32" spans="1:9" x14ac:dyDescent="0.25">
      <c r="A32" s="5" t="s">
        <v>93</v>
      </c>
      <c r="B32" s="5"/>
      <c r="C32" s="8">
        <v>2250</v>
      </c>
      <c r="D32" s="8"/>
      <c r="E32" s="8"/>
      <c r="G32" s="5">
        <v>7.49</v>
      </c>
      <c r="I32" s="8"/>
    </row>
    <row r="33" spans="1:9" x14ac:dyDescent="0.25">
      <c r="A33" t="s">
        <v>16</v>
      </c>
      <c r="C33" s="8">
        <v>495.5</v>
      </c>
      <c r="D33" s="8">
        <v>458.5</v>
      </c>
      <c r="E33" s="8">
        <v>7.84</v>
      </c>
      <c r="F33">
        <v>9.15</v>
      </c>
      <c r="G33" s="8">
        <v>8.8000000000000007</v>
      </c>
      <c r="I33" s="8">
        <v>8.25</v>
      </c>
    </row>
    <row r="34" spans="1:9" x14ac:dyDescent="0.25">
      <c r="A34" t="s">
        <v>17</v>
      </c>
      <c r="C34" s="8">
        <v>668</v>
      </c>
      <c r="D34" s="8">
        <v>639.79999999999995</v>
      </c>
      <c r="E34" s="8"/>
      <c r="F34">
        <v>9.24</v>
      </c>
      <c r="G34" s="8">
        <v>8.82</v>
      </c>
      <c r="I34" s="8">
        <v>8.92</v>
      </c>
    </row>
    <row r="35" spans="1:9" x14ac:dyDescent="0.25">
      <c r="A35" t="s">
        <v>18</v>
      </c>
      <c r="C35" s="8">
        <v>469.7</v>
      </c>
      <c r="D35" s="8">
        <v>507.5</v>
      </c>
      <c r="E35" s="8"/>
      <c r="F35">
        <v>9.52</v>
      </c>
      <c r="G35" s="8">
        <v>8.65</v>
      </c>
      <c r="I35" s="8">
        <v>8.7100000000000009</v>
      </c>
    </row>
    <row r="36" spans="1:9" x14ac:dyDescent="0.25">
      <c r="A36" t="s">
        <v>19</v>
      </c>
      <c r="C36" s="8">
        <v>430.1</v>
      </c>
      <c r="D36" s="8">
        <v>435.2</v>
      </c>
      <c r="E36" s="8"/>
      <c r="F36">
        <v>9.23</v>
      </c>
      <c r="G36" s="8">
        <v>8.4</v>
      </c>
      <c r="I36" s="8">
        <v>8.33</v>
      </c>
    </row>
    <row r="37" spans="1:9" x14ac:dyDescent="0.25">
      <c r="A37" t="s">
        <v>20</v>
      </c>
      <c r="C37" s="8">
        <v>2490</v>
      </c>
      <c r="D37" s="8"/>
      <c r="E37" s="8"/>
      <c r="F37">
        <v>8.51</v>
      </c>
      <c r="G37" s="8">
        <v>8.32</v>
      </c>
      <c r="I37" s="8"/>
    </row>
    <row r="38" spans="1:9" x14ac:dyDescent="0.25">
      <c r="A38" s="5" t="s">
        <v>94</v>
      </c>
      <c r="B38" s="5"/>
      <c r="C38" s="8">
        <v>443.9</v>
      </c>
      <c r="D38" s="8">
        <v>468.1</v>
      </c>
      <c r="E38" s="8"/>
      <c r="G38" s="8">
        <v>8.73</v>
      </c>
      <c r="I38" s="8">
        <v>8.9600000000000009</v>
      </c>
    </row>
    <row r="39" spans="1:9" x14ac:dyDescent="0.25">
      <c r="A39" s="5" t="s">
        <v>95</v>
      </c>
      <c r="B39" s="5"/>
      <c r="C39" s="8">
        <v>591.79999999999995</v>
      </c>
      <c r="D39" s="8">
        <v>545.1</v>
      </c>
      <c r="E39" s="8"/>
      <c r="G39">
        <v>7.81</v>
      </c>
      <c r="I39" s="8">
        <v>9.26</v>
      </c>
    </row>
    <row r="40" spans="1:9" x14ac:dyDescent="0.25">
      <c r="A40" s="5" t="s">
        <v>96</v>
      </c>
      <c r="B40" s="5"/>
      <c r="C40" s="8">
        <v>500.6</v>
      </c>
      <c r="D40" s="8">
        <v>556.29999999999995</v>
      </c>
      <c r="E40" s="8"/>
      <c r="G40">
        <v>9.0299999999999994</v>
      </c>
      <c r="I40" s="8">
        <v>9.0399999999999991</v>
      </c>
    </row>
    <row r="41" spans="1:9" x14ac:dyDescent="0.25">
      <c r="A41" s="5" t="s">
        <v>97</v>
      </c>
      <c r="B41" s="5"/>
      <c r="C41" s="8">
        <v>437.8</v>
      </c>
      <c r="D41" s="8">
        <v>408.2</v>
      </c>
      <c r="E41" s="8"/>
      <c r="G41">
        <v>7.6</v>
      </c>
      <c r="I41" s="8">
        <v>8.39</v>
      </c>
    </row>
    <row r="42" spans="1:9" x14ac:dyDescent="0.25">
      <c r="A42" s="5" t="s">
        <v>98</v>
      </c>
      <c r="B42" s="5"/>
      <c r="C42" s="8">
        <v>2010</v>
      </c>
      <c r="D42" s="8"/>
      <c r="E42" s="8"/>
      <c r="G42">
        <v>8.33</v>
      </c>
      <c r="I42" s="8"/>
    </row>
    <row r="43" spans="1:9" x14ac:dyDescent="0.25">
      <c r="A43" s="5" t="s">
        <v>99</v>
      </c>
      <c r="B43" s="5"/>
      <c r="C43" s="8">
        <v>3240</v>
      </c>
      <c r="D43" s="8"/>
      <c r="E43" s="8"/>
      <c r="G43">
        <v>7.76</v>
      </c>
      <c r="I43" s="8"/>
    </row>
    <row r="44" spans="1:9" x14ac:dyDescent="0.25">
      <c r="A44" t="s">
        <v>21</v>
      </c>
      <c r="C44" s="8">
        <v>865.1</v>
      </c>
      <c r="D44" s="8">
        <v>734.3</v>
      </c>
      <c r="E44" s="8">
        <v>7.77</v>
      </c>
      <c r="F44">
        <v>9.1199999999999992</v>
      </c>
      <c r="G44" s="8">
        <v>9.17</v>
      </c>
      <c r="I44" s="8">
        <v>8.67</v>
      </c>
    </row>
    <row r="45" spans="1:9" x14ac:dyDescent="0.25">
      <c r="A45" t="s">
        <v>22</v>
      </c>
      <c r="C45" s="8">
        <v>964.8</v>
      </c>
      <c r="D45" s="8">
        <v>707.1</v>
      </c>
      <c r="E45" s="8"/>
      <c r="F45">
        <v>8.8000000000000007</v>
      </c>
      <c r="G45" s="8">
        <v>8.94</v>
      </c>
      <c r="I45" s="8">
        <v>8.44</v>
      </c>
    </row>
    <row r="46" spans="1:9" x14ac:dyDescent="0.25">
      <c r="A46" t="s">
        <v>23</v>
      </c>
      <c r="C46" s="8">
        <v>503.4</v>
      </c>
      <c r="D46" s="8">
        <v>556.79999999999995</v>
      </c>
      <c r="E46" s="8"/>
      <c r="F46">
        <v>9.16</v>
      </c>
      <c r="G46" s="8">
        <v>9.34</v>
      </c>
      <c r="I46" s="8">
        <v>8.8699999999999992</v>
      </c>
    </row>
    <row r="47" spans="1:9" x14ac:dyDescent="0.25">
      <c r="A47" t="s">
        <v>24</v>
      </c>
      <c r="C47" s="8">
        <v>307.8</v>
      </c>
      <c r="D47" s="8">
        <v>361.2</v>
      </c>
      <c r="E47" s="8"/>
      <c r="F47">
        <v>9.25</v>
      </c>
      <c r="G47" s="8">
        <v>9.35</v>
      </c>
      <c r="I47" s="8">
        <v>8.8000000000000007</v>
      </c>
    </row>
    <row r="48" spans="1:9" x14ac:dyDescent="0.25">
      <c r="A48" t="s">
        <v>25</v>
      </c>
      <c r="C48" s="8">
        <v>1077</v>
      </c>
      <c r="D48" s="8">
        <v>1206</v>
      </c>
      <c r="E48" s="8"/>
      <c r="F48">
        <v>8.64</v>
      </c>
      <c r="G48" s="8">
        <v>8.8699999999999992</v>
      </c>
      <c r="I48" s="8">
        <v>8.3699999999999992</v>
      </c>
    </row>
    <row r="49" spans="1:9" x14ac:dyDescent="0.25">
      <c r="A49" t="s">
        <v>26</v>
      </c>
      <c r="C49" s="8">
        <v>1800</v>
      </c>
      <c r="D49" s="8"/>
      <c r="E49" s="8"/>
      <c r="F49">
        <v>8.3699999999999992</v>
      </c>
      <c r="G49" s="8">
        <v>8.83</v>
      </c>
      <c r="I49" s="8"/>
    </row>
    <row r="50" spans="1:9" x14ac:dyDescent="0.25">
      <c r="A50" s="5" t="s">
        <v>105</v>
      </c>
      <c r="B50" s="5"/>
      <c r="C50" s="8">
        <v>651.5</v>
      </c>
      <c r="D50" s="8">
        <v>648.29999999999995</v>
      </c>
      <c r="E50" s="8"/>
      <c r="G50" s="6">
        <v>8.2899999999999991</v>
      </c>
      <c r="H50">
        <v>7.98</v>
      </c>
      <c r="I50" s="8">
        <v>8.9</v>
      </c>
    </row>
    <row r="51" spans="1:9" x14ac:dyDescent="0.25">
      <c r="A51" s="5" t="s">
        <v>106</v>
      </c>
      <c r="B51" s="5"/>
      <c r="C51" s="8">
        <v>570.1</v>
      </c>
      <c r="D51" s="8">
        <v>630.79999999999995</v>
      </c>
      <c r="E51" s="8"/>
      <c r="G51" s="6">
        <v>8.65</v>
      </c>
      <c r="I51" s="8">
        <v>8.77</v>
      </c>
    </row>
    <row r="52" spans="1:9" x14ac:dyDescent="0.25">
      <c r="A52" s="5" t="s">
        <v>107</v>
      </c>
      <c r="B52" s="5"/>
      <c r="C52" s="8">
        <v>329.4</v>
      </c>
      <c r="D52" s="8">
        <v>363.3</v>
      </c>
      <c r="E52" s="8"/>
      <c r="G52" s="6">
        <v>8.7799999999999994</v>
      </c>
      <c r="H52">
        <v>8.42</v>
      </c>
      <c r="I52" s="8">
        <v>9.07</v>
      </c>
    </row>
    <row r="53" spans="1:9" x14ac:dyDescent="0.25">
      <c r="A53" s="5" t="s">
        <v>108</v>
      </c>
      <c r="B53" s="5"/>
      <c r="C53" s="8">
        <v>260.60000000000002</v>
      </c>
      <c r="D53" s="8">
        <v>224.5</v>
      </c>
      <c r="E53" s="8"/>
      <c r="G53" s="6">
        <v>8.4499999999999993</v>
      </c>
      <c r="H53">
        <v>8.4600000000000009</v>
      </c>
      <c r="I53" s="8">
        <v>9.0500000000000007</v>
      </c>
    </row>
    <row r="54" spans="1:9" x14ac:dyDescent="0.25">
      <c r="A54" s="5" t="s">
        <v>109</v>
      </c>
      <c r="B54" s="5"/>
      <c r="C54" s="8">
        <v>420.2</v>
      </c>
      <c r="D54" s="8">
        <v>410.6</v>
      </c>
      <c r="E54" s="8"/>
      <c r="G54" s="6">
        <v>8.7899999999999991</v>
      </c>
      <c r="H54">
        <v>8.4700000000000006</v>
      </c>
      <c r="I54" s="8">
        <v>8.93</v>
      </c>
    </row>
    <row r="55" spans="1:9" x14ac:dyDescent="0.25">
      <c r="A55" s="5" t="s">
        <v>110</v>
      </c>
      <c r="B55" s="5"/>
      <c r="C55" s="8">
        <v>1137</v>
      </c>
      <c r="D55" s="8">
        <v>1047</v>
      </c>
      <c r="E55" s="8"/>
      <c r="G55" s="6">
        <v>7.98</v>
      </c>
      <c r="I55" s="8">
        <v>8.27</v>
      </c>
    </row>
    <row r="56" spans="1:9" x14ac:dyDescent="0.25">
      <c r="A56" t="s">
        <v>27</v>
      </c>
      <c r="C56" s="8">
        <v>799.6</v>
      </c>
      <c r="D56" s="8"/>
      <c r="E56" s="8">
        <v>8.1300000000000008</v>
      </c>
      <c r="F56">
        <v>9.32</v>
      </c>
      <c r="G56" s="8">
        <v>9.15</v>
      </c>
      <c r="I56" s="8"/>
    </row>
    <row r="57" spans="1:9" x14ac:dyDescent="0.25">
      <c r="A57" t="s">
        <v>28</v>
      </c>
      <c r="C57" s="8">
        <v>595.5</v>
      </c>
      <c r="D57" s="8"/>
      <c r="E57" s="8"/>
      <c r="F57">
        <v>9.35</v>
      </c>
      <c r="G57" s="8">
        <v>9.42</v>
      </c>
      <c r="I57" s="8"/>
    </row>
    <row r="58" spans="1:9" x14ac:dyDescent="0.25">
      <c r="A58" t="s">
        <v>29</v>
      </c>
      <c r="C58" s="8">
        <v>525</v>
      </c>
      <c r="D58" s="8"/>
      <c r="E58" s="8"/>
      <c r="F58">
        <v>9.31</v>
      </c>
      <c r="G58" s="8">
        <v>9.3000000000000007</v>
      </c>
      <c r="I58" s="8"/>
    </row>
    <row r="59" spans="1:9" x14ac:dyDescent="0.25">
      <c r="A59" t="s">
        <v>30</v>
      </c>
      <c r="C59" s="8">
        <v>1240</v>
      </c>
      <c r="D59" s="8"/>
      <c r="E59" s="8"/>
      <c r="F59">
        <v>8.8000000000000007</v>
      </c>
      <c r="G59" s="8">
        <v>8.9</v>
      </c>
      <c r="I59" s="8"/>
    </row>
    <row r="60" spans="1:9" x14ac:dyDescent="0.25">
      <c r="A60" t="s">
        <v>31</v>
      </c>
      <c r="C60" s="8">
        <v>2430</v>
      </c>
      <c r="D60" s="8"/>
      <c r="E60" s="8"/>
      <c r="F60">
        <v>8.0500000000000007</v>
      </c>
      <c r="G60" s="8">
        <v>8.52</v>
      </c>
      <c r="I60" s="8"/>
    </row>
    <row r="61" spans="1:9" x14ac:dyDescent="0.25">
      <c r="A61" s="5" t="s">
        <v>112</v>
      </c>
      <c r="B61" s="5"/>
      <c r="C61" s="8">
        <v>621.5</v>
      </c>
      <c r="D61" s="8"/>
      <c r="E61" s="8"/>
      <c r="G61" s="6">
        <v>8.31</v>
      </c>
      <c r="H61" s="6">
        <v>8.43</v>
      </c>
      <c r="I61" s="8"/>
    </row>
    <row r="62" spans="1:9" x14ac:dyDescent="0.25">
      <c r="A62" s="5" t="s">
        <v>113</v>
      </c>
      <c r="B62" s="5"/>
      <c r="C62" s="8">
        <v>590.6</v>
      </c>
      <c r="D62" s="8"/>
      <c r="E62" s="8"/>
      <c r="G62" s="6">
        <v>8.52</v>
      </c>
      <c r="H62" s="6">
        <v>8.15</v>
      </c>
      <c r="I62" s="8"/>
    </row>
    <row r="63" spans="1:9" x14ac:dyDescent="0.25">
      <c r="A63" s="5" t="s">
        <v>114</v>
      </c>
      <c r="B63" s="5"/>
      <c r="C63" s="8">
        <v>497.8</v>
      </c>
      <c r="D63" s="8"/>
      <c r="E63" s="8"/>
      <c r="G63" s="6">
        <v>8.44</v>
      </c>
      <c r="H63" s="6">
        <v>8.76</v>
      </c>
      <c r="I63" s="8"/>
    </row>
    <row r="64" spans="1:9" x14ac:dyDescent="0.25">
      <c r="A64" s="5" t="s">
        <v>115</v>
      </c>
      <c r="B64" s="5"/>
      <c r="C64" s="8">
        <v>386.6</v>
      </c>
      <c r="D64" s="8"/>
      <c r="E64" s="8"/>
      <c r="G64" s="6">
        <v>8.25</v>
      </c>
      <c r="H64" s="6">
        <v>8.07</v>
      </c>
      <c r="I64" s="8"/>
    </row>
    <row r="65" spans="1:9" x14ac:dyDescent="0.25">
      <c r="A65" s="5" t="s">
        <v>116</v>
      </c>
      <c r="B65" s="5"/>
      <c r="C65" s="8">
        <v>3550</v>
      </c>
      <c r="D65" s="8"/>
      <c r="E65" s="8"/>
      <c r="G65" s="6">
        <v>7.76</v>
      </c>
      <c r="H65" s="6">
        <v>8.27</v>
      </c>
      <c r="I65" s="8"/>
    </row>
    <row r="66" spans="1:9" x14ac:dyDescent="0.25">
      <c r="A66" t="s">
        <v>32</v>
      </c>
      <c r="C66" s="8">
        <v>673.9</v>
      </c>
      <c r="D66" s="8"/>
      <c r="E66" s="8">
        <v>7.99</v>
      </c>
      <c r="F66">
        <v>9.33</v>
      </c>
      <c r="G66" s="8">
        <v>9.2100000000000009</v>
      </c>
      <c r="I66" s="8"/>
    </row>
    <row r="67" spans="1:9" x14ac:dyDescent="0.25">
      <c r="A67" t="s">
        <v>33</v>
      </c>
      <c r="C67" s="8">
        <v>689.8</v>
      </c>
      <c r="D67" s="8"/>
      <c r="E67" s="8"/>
      <c r="F67">
        <v>8.81</v>
      </c>
      <c r="G67" s="8">
        <v>8.89</v>
      </c>
      <c r="I67" s="8"/>
    </row>
    <row r="68" spans="1:9" x14ac:dyDescent="0.25">
      <c r="A68" t="s">
        <v>34</v>
      </c>
      <c r="C68" s="8">
        <v>507.2</v>
      </c>
      <c r="D68" s="8"/>
      <c r="E68" s="8"/>
      <c r="F68">
        <v>8.8800000000000008</v>
      </c>
      <c r="G68" s="8">
        <v>8.85</v>
      </c>
      <c r="I68" s="8"/>
    </row>
    <row r="69" spans="1:9" x14ac:dyDescent="0.25">
      <c r="A69" t="s">
        <v>35</v>
      </c>
      <c r="C69" s="8">
        <v>362.6</v>
      </c>
      <c r="D69" s="8"/>
      <c r="E69" s="8"/>
      <c r="F69">
        <v>9.32</v>
      </c>
      <c r="G69" s="8">
        <v>9.44</v>
      </c>
      <c r="I69" s="8"/>
    </row>
    <row r="70" spans="1:9" x14ac:dyDescent="0.25">
      <c r="A70" t="s">
        <v>36</v>
      </c>
      <c r="C70" s="8">
        <v>1310</v>
      </c>
      <c r="D70" s="8"/>
      <c r="E70" s="8"/>
      <c r="F70">
        <v>8.61</v>
      </c>
      <c r="G70" s="8">
        <v>8.85</v>
      </c>
      <c r="I70" s="8"/>
    </row>
    <row r="71" spans="1:9" x14ac:dyDescent="0.25">
      <c r="A71" t="s">
        <v>37</v>
      </c>
      <c r="C71" s="8">
        <v>2830</v>
      </c>
      <c r="D71" s="8"/>
      <c r="E71" s="8"/>
      <c r="F71">
        <v>8.42</v>
      </c>
      <c r="G71" s="8">
        <v>8.6</v>
      </c>
      <c r="I71" s="8"/>
    </row>
    <row r="72" spans="1:9" x14ac:dyDescent="0.25">
      <c r="A72" s="5" t="s">
        <v>117</v>
      </c>
      <c r="B72" s="5"/>
      <c r="C72" s="8">
        <v>376.3</v>
      </c>
      <c r="D72" s="8"/>
      <c r="E72" s="8"/>
      <c r="G72" s="6">
        <v>7.91</v>
      </c>
      <c r="H72" s="6">
        <v>7.96</v>
      </c>
      <c r="I72" s="8"/>
    </row>
    <row r="73" spans="1:9" x14ac:dyDescent="0.25">
      <c r="A73" s="5" t="s">
        <v>118</v>
      </c>
      <c r="B73" s="5"/>
      <c r="C73" s="8">
        <v>435.8</v>
      </c>
      <c r="D73" s="8"/>
      <c r="E73" s="8"/>
      <c r="G73" s="6">
        <v>8.26</v>
      </c>
      <c r="H73" s="6">
        <v>8.41</v>
      </c>
      <c r="I73" s="8"/>
    </row>
    <row r="74" spans="1:9" x14ac:dyDescent="0.25">
      <c r="A74" s="5" t="s">
        <v>119</v>
      </c>
      <c r="B74" s="5"/>
      <c r="C74" s="8">
        <v>484.5</v>
      </c>
      <c r="D74" s="8"/>
      <c r="E74" s="8"/>
      <c r="G74" s="6">
        <v>8.49</v>
      </c>
      <c r="I74" s="8"/>
    </row>
    <row r="75" spans="1:9" x14ac:dyDescent="0.25">
      <c r="A75" s="5" t="s">
        <v>120</v>
      </c>
      <c r="B75" s="5"/>
      <c r="C75" s="8">
        <v>613.5</v>
      </c>
      <c r="D75" s="8"/>
      <c r="E75" s="8"/>
      <c r="G75" s="6">
        <v>7.84</v>
      </c>
      <c r="H75" s="6">
        <v>8.18</v>
      </c>
      <c r="I75" s="8"/>
    </row>
    <row r="76" spans="1:9" x14ac:dyDescent="0.25">
      <c r="A76" s="5" t="s">
        <v>121</v>
      </c>
      <c r="B76" s="5"/>
      <c r="C76" s="8">
        <v>2830</v>
      </c>
      <c r="D76" s="8"/>
      <c r="E76" s="8"/>
      <c r="G76" s="6">
        <v>7.92</v>
      </c>
      <c r="H76" s="6">
        <v>8.2899999999999991</v>
      </c>
      <c r="I76" s="8"/>
    </row>
    <row r="77" spans="1:9" x14ac:dyDescent="0.25">
      <c r="A77" t="s">
        <v>38</v>
      </c>
      <c r="C77" s="8">
        <v>453.1</v>
      </c>
      <c r="D77" s="8"/>
      <c r="E77" s="8">
        <v>7.71</v>
      </c>
      <c r="F77">
        <v>9.0500000000000007</v>
      </c>
      <c r="I77" s="8"/>
    </row>
    <row r="78" spans="1:9" x14ac:dyDescent="0.25">
      <c r="A78" t="s">
        <v>39</v>
      </c>
      <c r="C78" s="8">
        <v>535.6</v>
      </c>
      <c r="D78" s="8">
        <v>709.3</v>
      </c>
      <c r="E78" s="8"/>
      <c r="F78">
        <v>9.02</v>
      </c>
      <c r="H78" s="8">
        <v>8.92</v>
      </c>
      <c r="I78" s="8">
        <v>8.86</v>
      </c>
    </row>
    <row r="79" spans="1:9" x14ac:dyDescent="0.25">
      <c r="A79" t="s">
        <v>40</v>
      </c>
      <c r="C79" s="8">
        <v>437.7</v>
      </c>
      <c r="D79" s="8">
        <v>525.5</v>
      </c>
      <c r="E79" s="8"/>
      <c r="F79">
        <v>9.4499999999999993</v>
      </c>
      <c r="H79" s="8">
        <v>9.35</v>
      </c>
      <c r="I79" s="8">
        <v>8.7799999999999994</v>
      </c>
    </row>
    <row r="80" spans="1:9" x14ac:dyDescent="0.25">
      <c r="A80" t="s">
        <v>41</v>
      </c>
      <c r="C80" s="8">
        <v>435.8</v>
      </c>
      <c r="D80" s="8">
        <v>488.6</v>
      </c>
      <c r="E80" s="8"/>
      <c r="F80">
        <v>9.36</v>
      </c>
      <c r="H80" s="8">
        <v>9.2200000000000006</v>
      </c>
      <c r="I80" s="8">
        <v>8.85</v>
      </c>
    </row>
    <row r="81" spans="1:9" x14ac:dyDescent="0.25">
      <c r="A81" t="s">
        <v>42</v>
      </c>
      <c r="C81" s="8">
        <v>2270</v>
      </c>
      <c r="D81" s="8"/>
      <c r="E81" s="8"/>
      <c r="F81">
        <v>8.4</v>
      </c>
      <c r="H81" s="8">
        <v>8.6</v>
      </c>
      <c r="I81" s="8"/>
    </row>
    <row r="82" spans="1:9" x14ac:dyDescent="0.25">
      <c r="A82" t="s">
        <v>43</v>
      </c>
      <c r="C82" s="8">
        <v>4210</v>
      </c>
      <c r="D82" s="8"/>
      <c r="E82" s="8"/>
      <c r="F82">
        <v>8.0299999999999994</v>
      </c>
      <c r="H82" s="8">
        <v>8.5500000000000007</v>
      </c>
      <c r="I82" s="8"/>
    </row>
    <row r="83" spans="1:9" x14ac:dyDescent="0.25">
      <c r="A83" s="5" t="s">
        <v>100</v>
      </c>
      <c r="B83" s="5"/>
      <c r="C83" s="8">
        <v>1154</v>
      </c>
      <c r="D83" s="8">
        <v>767.1</v>
      </c>
      <c r="E83" s="8"/>
      <c r="H83" s="8">
        <v>9.17</v>
      </c>
      <c r="I83" s="8">
        <v>8.86</v>
      </c>
    </row>
    <row r="84" spans="1:9" x14ac:dyDescent="0.25">
      <c r="A84" s="5" t="s">
        <v>101</v>
      </c>
      <c r="B84" s="5"/>
      <c r="C84" s="8">
        <v>973.5</v>
      </c>
      <c r="D84" s="8">
        <v>643.5</v>
      </c>
      <c r="E84" s="8"/>
      <c r="H84" s="8">
        <v>9.18</v>
      </c>
      <c r="I84" s="8">
        <v>9.0299999999999994</v>
      </c>
    </row>
    <row r="85" spans="1:9" x14ac:dyDescent="0.25">
      <c r="A85" s="5" t="s">
        <v>102</v>
      </c>
      <c r="B85" s="5"/>
      <c r="C85" s="8">
        <v>699.7</v>
      </c>
      <c r="D85" s="8">
        <v>442.7</v>
      </c>
      <c r="E85" s="8"/>
      <c r="H85" s="8">
        <v>9.44</v>
      </c>
      <c r="I85" s="8">
        <v>9.2799999999999994</v>
      </c>
    </row>
    <row r="86" spans="1:9" x14ac:dyDescent="0.25">
      <c r="A86" s="5" t="s">
        <v>103</v>
      </c>
      <c r="B86" s="5"/>
      <c r="C86" s="8">
        <v>456.7</v>
      </c>
      <c r="D86" s="8">
        <v>305.7</v>
      </c>
      <c r="E86" s="8"/>
      <c r="H86" s="8">
        <v>9.81</v>
      </c>
      <c r="I86" s="8">
        <v>9.33</v>
      </c>
    </row>
    <row r="87" spans="1:9" x14ac:dyDescent="0.25">
      <c r="A87" s="5" t="s">
        <v>104</v>
      </c>
      <c r="B87" s="5"/>
      <c r="C87" s="8">
        <v>3430</v>
      </c>
      <c r="D87" s="8"/>
      <c r="E87" s="8"/>
      <c r="H87" s="8">
        <v>8.65</v>
      </c>
      <c r="I87" s="8"/>
    </row>
    <row r="88" spans="1:9" x14ac:dyDescent="0.25">
      <c r="A88" t="s">
        <v>44</v>
      </c>
      <c r="C88" s="8">
        <v>487.6</v>
      </c>
      <c r="D88" s="8"/>
      <c r="E88" s="8">
        <v>7.86</v>
      </c>
      <c r="F88">
        <v>8.92</v>
      </c>
    </row>
    <row r="89" spans="1:9" x14ac:dyDescent="0.25">
      <c r="A89" t="s">
        <v>133</v>
      </c>
      <c r="C89" s="8"/>
      <c r="D89" s="8"/>
      <c r="E89" s="8"/>
    </row>
    <row r="90" spans="1:9" x14ac:dyDescent="0.25">
      <c r="A90" t="s">
        <v>45</v>
      </c>
      <c r="C90" s="8">
        <v>680.2</v>
      </c>
      <c r="D90" s="8"/>
      <c r="E90" s="8"/>
      <c r="F90">
        <v>8.31</v>
      </c>
    </row>
    <row r="91" spans="1:9" x14ac:dyDescent="0.25">
      <c r="A91" t="s">
        <v>46</v>
      </c>
      <c r="C91" s="8">
        <v>1079</v>
      </c>
      <c r="D91" s="8"/>
      <c r="E91" s="8"/>
      <c r="F91">
        <v>8.0500000000000007</v>
      </c>
    </row>
    <row r="92" spans="1:9" x14ac:dyDescent="0.25">
      <c r="A92" t="s">
        <v>47</v>
      </c>
      <c r="C92" s="8">
        <v>2090</v>
      </c>
      <c r="D92" s="8"/>
      <c r="E92" s="8"/>
      <c r="F92">
        <v>7.73</v>
      </c>
    </row>
    <row r="93" spans="1:9" x14ac:dyDescent="0.25">
      <c r="A93" t="s">
        <v>134</v>
      </c>
      <c r="C93" s="8"/>
      <c r="D93" s="8"/>
      <c r="E93" s="8"/>
    </row>
    <row r="94" spans="1:9" x14ac:dyDescent="0.25">
      <c r="A94" t="s">
        <v>135</v>
      </c>
      <c r="C94" s="8"/>
      <c r="D94" s="8"/>
      <c r="E94" s="8"/>
    </row>
    <row r="95" spans="1:9" x14ac:dyDescent="0.25">
      <c r="A95" t="s">
        <v>136</v>
      </c>
      <c r="C95" s="8"/>
      <c r="D95" s="8"/>
      <c r="E95" s="8"/>
    </row>
    <row r="96" spans="1:9" x14ac:dyDescent="0.25">
      <c r="A96" t="s">
        <v>137</v>
      </c>
      <c r="C96" s="8"/>
      <c r="D96" s="8"/>
      <c r="E96" s="8"/>
    </row>
    <row r="97" spans="1:6" x14ac:dyDescent="0.25">
      <c r="A97" t="s">
        <v>138</v>
      </c>
      <c r="C97" s="8"/>
      <c r="D97" s="8"/>
      <c r="E97" s="8"/>
    </row>
    <row r="98" spans="1:6" x14ac:dyDescent="0.25">
      <c r="A98" t="s">
        <v>139</v>
      </c>
      <c r="C98" s="8"/>
      <c r="D98" s="8"/>
      <c r="E98" s="8"/>
    </row>
    <row r="99" spans="1:6" x14ac:dyDescent="0.25">
      <c r="A99" t="s">
        <v>48</v>
      </c>
      <c r="C99" s="8">
        <v>350.9</v>
      </c>
      <c r="D99" s="8"/>
      <c r="E99" s="8">
        <v>7.94</v>
      </c>
      <c r="F99">
        <v>9.08</v>
      </c>
    </row>
    <row r="100" spans="1:6" x14ac:dyDescent="0.25">
      <c r="A100" t="s">
        <v>49</v>
      </c>
      <c r="C100" s="8">
        <v>671.4</v>
      </c>
      <c r="D100" s="8"/>
      <c r="E100" s="8"/>
      <c r="F100">
        <v>8.85</v>
      </c>
    </row>
    <row r="101" spans="1:6" x14ac:dyDescent="0.25">
      <c r="A101" t="s">
        <v>50</v>
      </c>
      <c r="C101" s="8">
        <v>1278</v>
      </c>
      <c r="D101" s="8"/>
      <c r="E101" s="8"/>
      <c r="F101">
        <v>8.26</v>
      </c>
    </row>
    <row r="102" spans="1:6" x14ac:dyDescent="0.25">
      <c r="A102" t="s">
        <v>51</v>
      </c>
      <c r="C102" s="8">
        <v>1778</v>
      </c>
      <c r="D102" s="8"/>
      <c r="E102" s="8"/>
      <c r="F102">
        <v>7.89</v>
      </c>
    </row>
    <row r="103" spans="1:6" x14ac:dyDescent="0.25">
      <c r="A103" t="s">
        <v>52</v>
      </c>
      <c r="C103" s="8">
        <v>1610</v>
      </c>
      <c r="D103" s="8"/>
      <c r="E103" s="8"/>
      <c r="F103">
        <v>7.93</v>
      </c>
    </row>
    <row r="104" spans="1:6" x14ac:dyDescent="0.25">
      <c r="A104" t="s">
        <v>140</v>
      </c>
      <c r="C104" s="8"/>
      <c r="D104" s="8"/>
      <c r="E104" s="8"/>
    </row>
    <row r="105" spans="1:6" x14ac:dyDescent="0.25">
      <c r="A105" t="s">
        <v>141</v>
      </c>
      <c r="C105" s="8"/>
      <c r="D105" s="8"/>
      <c r="E105" s="8"/>
    </row>
    <row r="106" spans="1:6" x14ac:dyDescent="0.25">
      <c r="A106" t="s">
        <v>142</v>
      </c>
      <c r="C106" s="8"/>
      <c r="D106" s="8"/>
      <c r="E106" s="8"/>
    </row>
    <row r="107" spans="1:6" x14ac:dyDescent="0.25">
      <c r="A107" t="s">
        <v>143</v>
      </c>
      <c r="C107" s="8"/>
      <c r="D107" s="8"/>
      <c r="E107" s="8"/>
    </row>
    <row r="108" spans="1:6" x14ac:dyDescent="0.25">
      <c r="A108" t="s">
        <v>144</v>
      </c>
      <c r="C108" s="8"/>
      <c r="D108" s="8"/>
      <c r="E108" s="8"/>
    </row>
    <row r="109" spans="1:6" x14ac:dyDescent="0.25">
      <c r="A109" t="s">
        <v>145</v>
      </c>
      <c r="C109" s="8"/>
      <c r="D109" s="8"/>
      <c r="E109" s="8"/>
    </row>
    <row r="110" spans="1:6" x14ac:dyDescent="0.25">
      <c r="A110" t="s">
        <v>146</v>
      </c>
      <c r="C110" s="8"/>
      <c r="D110" s="8"/>
      <c r="E110" s="8"/>
    </row>
    <row r="111" spans="1:6" x14ac:dyDescent="0.25">
      <c r="A111" t="s">
        <v>53</v>
      </c>
      <c r="C111" s="8">
        <v>429.8</v>
      </c>
      <c r="D111" s="8"/>
      <c r="E111" s="8">
        <v>7.78</v>
      </c>
      <c r="F111">
        <v>8.82</v>
      </c>
    </row>
    <row r="112" spans="1:6" x14ac:dyDescent="0.25">
      <c r="A112" t="s">
        <v>147</v>
      </c>
      <c r="C112" s="8"/>
      <c r="D112" s="8"/>
      <c r="E112" s="8"/>
    </row>
    <row r="113" spans="1:6" x14ac:dyDescent="0.25">
      <c r="A113" t="s">
        <v>148</v>
      </c>
      <c r="C113" s="8"/>
      <c r="D113" s="8"/>
      <c r="E113" s="8"/>
    </row>
    <row r="114" spans="1:6" x14ac:dyDescent="0.25">
      <c r="A114" t="s">
        <v>54</v>
      </c>
      <c r="C114" s="8">
        <v>1425</v>
      </c>
      <c r="D114" s="8"/>
      <c r="E114" s="8"/>
      <c r="F114">
        <v>8.27</v>
      </c>
    </row>
    <row r="115" spans="1:6" x14ac:dyDescent="0.25">
      <c r="A115" t="s">
        <v>184</v>
      </c>
      <c r="C115" s="8"/>
      <c r="D115" s="8"/>
      <c r="E115" s="8"/>
    </row>
    <row r="116" spans="1:6" x14ac:dyDescent="0.25">
      <c r="A116" t="s">
        <v>55</v>
      </c>
      <c r="C116" s="8">
        <v>1662</v>
      </c>
      <c r="D116" s="8"/>
      <c r="E116" s="8"/>
      <c r="F116">
        <v>7.96</v>
      </c>
    </row>
    <row r="117" spans="1:6" x14ac:dyDescent="0.25">
      <c r="A117" t="s">
        <v>149</v>
      </c>
      <c r="C117" s="8"/>
      <c r="D117" s="8"/>
      <c r="E117" s="8"/>
    </row>
    <row r="118" spans="1:6" x14ac:dyDescent="0.25">
      <c r="A118" t="s">
        <v>150</v>
      </c>
      <c r="C118" s="8"/>
      <c r="D118" s="8"/>
      <c r="E118" s="8"/>
    </row>
    <row r="119" spans="1:6" x14ac:dyDescent="0.25">
      <c r="A119" t="s">
        <v>151</v>
      </c>
      <c r="C119" s="8"/>
      <c r="D119" s="8"/>
      <c r="E119" s="8"/>
    </row>
    <row r="120" spans="1:6" x14ac:dyDescent="0.25">
      <c r="A120" t="s">
        <v>152</v>
      </c>
      <c r="C120" s="8"/>
      <c r="D120" s="8"/>
      <c r="E120" s="8"/>
    </row>
    <row r="121" spans="1:6" x14ac:dyDescent="0.25">
      <c r="A121" t="s">
        <v>153</v>
      </c>
      <c r="C121" s="8"/>
      <c r="D121" s="8"/>
      <c r="E121" s="8"/>
    </row>
    <row r="122" spans="1:6" x14ac:dyDescent="0.25">
      <c r="A122" t="s">
        <v>154</v>
      </c>
      <c r="C122" s="8"/>
      <c r="D122" s="8"/>
      <c r="E122" s="8"/>
    </row>
    <row r="123" spans="1:6" x14ac:dyDescent="0.25">
      <c r="A123" t="s">
        <v>155</v>
      </c>
      <c r="C123" s="8"/>
      <c r="D123" s="8"/>
      <c r="E123" s="8">
        <v>7.87</v>
      </c>
    </row>
    <row r="124" spans="1:6" x14ac:dyDescent="0.25">
      <c r="A124" t="s">
        <v>156</v>
      </c>
      <c r="C124" s="8"/>
      <c r="D124" s="8"/>
      <c r="E124" s="8"/>
    </row>
    <row r="125" spans="1:6" x14ac:dyDescent="0.25">
      <c r="A125" t="s">
        <v>157</v>
      </c>
      <c r="C125" s="8"/>
      <c r="D125" s="8"/>
      <c r="E125" s="8"/>
    </row>
    <row r="126" spans="1:6" x14ac:dyDescent="0.25">
      <c r="A126" t="s">
        <v>56</v>
      </c>
      <c r="C126" s="8">
        <v>1111</v>
      </c>
      <c r="D126" s="8"/>
      <c r="E126" s="8"/>
      <c r="F126">
        <v>8.1199999999999992</v>
      </c>
    </row>
    <row r="127" spans="1:6" x14ac:dyDescent="0.25">
      <c r="A127" t="s">
        <v>158</v>
      </c>
      <c r="C127" s="8"/>
      <c r="D127" s="8"/>
      <c r="E127" s="8"/>
    </row>
    <row r="128" spans="1:6" x14ac:dyDescent="0.25">
      <c r="A128" t="s">
        <v>159</v>
      </c>
      <c r="C128" s="8"/>
      <c r="D128" s="8"/>
      <c r="E128" s="8"/>
    </row>
    <row r="129" spans="1:8" x14ac:dyDescent="0.25">
      <c r="A129" t="s">
        <v>160</v>
      </c>
      <c r="C129" s="8"/>
      <c r="D129" s="8"/>
      <c r="E129" s="8"/>
    </row>
    <row r="130" spans="1:8" x14ac:dyDescent="0.25">
      <c r="A130" t="s">
        <v>161</v>
      </c>
      <c r="C130" s="8"/>
      <c r="D130" s="8"/>
      <c r="E130" s="8"/>
    </row>
    <row r="131" spans="1:8" x14ac:dyDescent="0.25">
      <c r="A131" t="s">
        <v>162</v>
      </c>
      <c r="C131" s="8"/>
      <c r="D131" s="8"/>
      <c r="E131" s="8"/>
    </row>
    <row r="132" spans="1:8" x14ac:dyDescent="0.25">
      <c r="A132" t="s">
        <v>163</v>
      </c>
      <c r="C132" s="8"/>
      <c r="D132" s="8"/>
      <c r="E132" s="8"/>
    </row>
    <row r="133" spans="1:8" x14ac:dyDescent="0.25">
      <c r="A133" t="s">
        <v>164</v>
      </c>
      <c r="C133" s="8"/>
      <c r="D133" s="8"/>
      <c r="E133" s="8"/>
    </row>
    <row r="134" spans="1:8" x14ac:dyDescent="0.25">
      <c r="A134" t="s">
        <v>165</v>
      </c>
      <c r="C134" s="8"/>
      <c r="D134" s="8"/>
      <c r="E134" s="8"/>
    </row>
    <row r="135" spans="1:8" x14ac:dyDescent="0.25">
      <c r="A135" t="s">
        <v>57</v>
      </c>
      <c r="C135" s="8">
        <v>363.2</v>
      </c>
      <c r="D135" s="8"/>
      <c r="E135" s="8">
        <v>7.91</v>
      </c>
      <c r="F135">
        <v>9.0500000000000007</v>
      </c>
    </row>
    <row r="136" spans="1:8" x14ac:dyDescent="0.25">
      <c r="A136" t="s">
        <v>58</v>
      </c>
      <c r="C136" s="8">
        <v>684.5</v>
      </c>
      <c r="D136" s="8"/>
      <c r="E136" s="8"/>
      <c r="F136">
        <v>8.4</v>
      </c>
    </row>
    <row r="137" spans="1:8" x14ac:dyDescent="0.25">
      <c r="A137" t="s">
        <v>59</v>
      </c>
      <c r="C137" s="8">
        <v>338</v>
      </c>
      <c r="D137" s="8"/>
      <c r="E137" s="8"/>
      <c r="F137">
        <v>8.31</v>
      </c>
    </row>
    <row r="138" spans="1:8" x14ac:dyDescent="0.25">
      <c r="A138" t="s">
        <v>60</v>
      </c>
      <c r="C138" s="8">
        <v>651.20000000000005</v>
      </c>
      <c r="D138" s="8"/>
      <c r="E138" s="8"/>
      <c r="F138">
        <v>7.8</v>
      </c>
    </row>
    <row r="139" spans="1:8" x14ac:dyDescent="0.25">
      <c r="A139" t="s">
        <v>61</v>
      </c>
      <c r="C139" s="8">
        <v>1336</v>
      </c>
      <c r="D139" s="8"/>
      <c r="E139" s="8"/>
      <c r="F139">
        <v>8.1</v>
      </c>
    </row>
    <row r="140" spans="1:8" x14ac:dyDescent="0.25">
      <c r="A140" t="s">
        <v>166</v>
      </c>
      <c r="C140" s="8"/>
      <c r="D140" s="8"/>
      <c r="E140" s="8"/>
    </row>
    <row r="141" spans="1:8" x14ac:dyDescent="0.25">
      <c r="A141" t="s">
        <v>167</v>
      </c>
      <c r="C141" s="8"/>
      <c r="D141" s="8"/>
      <c r="E141" s="8"/>
    </row>
    <row r="142" spans="1:8" x14ac:dyDescent="0.25">
      <c r="A142" t="s">
        <v>168</v>
      </c>
      <c r="C142" s="8"/>
      <c r="D142" s="8"/>
      <c r="E142" s="8"/>
    </row>
    <row r="143" spans="1:8" x14ac:dyDescent="0.25">
      <c r="A143" s="5" t="s">
        <v>122</v>
      </c>
      <c r="B143" s="5"/>
      <c r="C143" s="7">
        <v>1876</v>
      </c>
      <c r="D143" s="7"/>
      <c r="E143" s="7"/>
      <c r="G143" s="6">
        <v>7.78</v>
      </c>
      <c r="H143" s="6">
        <v>8.26</v>
      </c>
    </row>
    <row r="144" spans="1:8" x14ac:dyDescent="0.25">
      <c r="A144" t="s">
        <v>169</v>
      </c>
    </row>
    <row r="145" spans="1:8" x14ac:dyDescent="0.25">
      <c r="A145" t="s">
        <v>62</v>
      </c>
      <c r="C145" s="8">
        <v>381.2</v>
      </c>
      <c r="D145" s="8"/>
      <c r="E145" s="8">
        <v>8.0299999999999994</v>
      </c>
      <c r="F145">
        <v>9.09</v>
      </c>
    </row>
    <row r="146" spans="1:8" x14ac:dyDescent="0.25">
      <c r="A146" t="s">
        <v>63</v>
      </c>
      <c r="C146" s="8">
        <v>624</v>
      </c>
      <c r="D146" s="8"/>
      <c r="E146" s="8"/>
      <c r="F146">
        <v>9</v>
      </c>
    </row>
    <row r="147" spans="1:8" x14ac:dyDescent="0.25">
      <c r="A147" t="s">
        <v>64</v>
      </c>
      <c r="C147" s="8">
        <v>1250</v>
      </c>
      <c r="D147" s="8"/>
      <c r="E147" s="8"/>
      <c r="F147">
        <v>8</v>
      </c>
    </row>
    <row r="148" spans="1:8" x14ac:dyDescent="0.25">
      <c r="A148" t="s">
        <v>65</v>
      </c>
      <c r="C148" s="8">
        <v>1090</v>
      </c>
      <c r="D148" s="8"/>
      <c r="E148" s="8"/>
      <c r="F148">
        <v>8.16</v>
      </c>
    </row>
    <row r="149" spans="1:8" x14ac:dyDescent="0.25">
      <c r="A149" t="s">
        <v>66</v>
      </c>
      <c r="C149" s="8">
        <v>1129</v>
      </c>
      <c r="D149" s="8"/>
      <c r="E149" s="8"/>
      <c r="F149">
        <v>7.96</v>
      </c>
    </row>
    <row r="150" spans="1:8" x14ac:dyDescent="0.25">
      <c r="A150" t="s">
        <v>67</v>
      </c>
      <c r="C150" s="8">
        <v>1326</v>
      </c>
      <c r="D150" s="8"/>
      <c r="E150" s="8"/>
      <c r="F150">
        <v>8.2899999999999991</v>
      </c>
    </row>
    <row r="151" spans="1:8" x14ac:dyDescent="0.25">
      <c r="A151" t="s">
        <v>170</v>
      </c>
    </row>
    <row r="152" spans="1:8" x14ac:dyDescent="0.25">
      <c r="A152" t="s">
        <v>171</v>
      </c>
    </row>
    <row r="153" spans="1:8" x14ac:dyDescent="0.25">
      <c r="A153" s="5" t="s">
        <v>123</v>
      </c>
      <c r="B153" s="5"/>
      <c r="C153" s="7">
        <v>1112</v>
      </c>
      <c r="D153" s="7"/>
      <c r="E153" s="7"/>
      <c r="G153" s="6">
        <v>7.83</v>
      </c>
    </row>
    <row r="154" spans="1:8" x14ac:dyDescent="0.25">
      <c r="A154" t="s">
        <v>172</v>
      </c>
      <c r="C154" s="7"/>
      <c r="D154" s="7"/>
      <c r="E154" s="7"/>
    </row>
    <row r="155" spans="1:8" x14ac:dyDescent="0.25">
      <c r="A155" t="s">
        <v>173</v>
      </c>
      <c r="C155" s="7"/>
      <c r="D155" s="7"/>
      <c r="E155" s="7"/>
    </row>
    <row r="156" spans="1:8" x14ac:dyDescent="0.25">
      <c r="A156" s="5" t="s">
        <v>124</v>
      </c>
      <c r="B156" s="5"/>
      <c r="C156" s="7">
        <v>1312</v>
      </c>
      <c r="D156" s="7"/>
      <c r="E156" s="7"/>
      <c r="G156" s="6">
        <v>7.79</v>
      </c>
      <c r="H156" s="6">
        <v>7.88</v>
      </c>
    </row>
    <row r="157" spans="1:8" x14ac:dyDescent="0.25">
      <c r="A157" t="s">
        <v>68</v>
      </c>
      <c r="C157" s="8">
        <v>265.60000000000002</v>
      </c>
      <c r="D157" s="8"/>
      <c r="E157" s="8">
        <v>7.72</v>
      </c>
      <c r="F157">
        <v>8.7799999999999994</v>
      </c>
    </row>
    <row r="158" spans="1:8" x14ac:dyDescent="0.25">
      <c r="A158" t="s">
        <v>69</v>
      </c>
      <c r="C158" s="8">
        <v>408.6</v>
      </c>
      <c r="D158" s="8"/>
      <c r="E158" s="8"/>
      <c r="F158">
        <v>9.15</v>
      </c>
    </row>
    <row r="159" spans="1:8" x14ac:dyDescent="0.25">
      <c r="A159" t="s">
        <v>70</v>
      </c>
      <c r="C159" s="8">
        <v>446.8</v>
      </c>
      <c r="D159" s="8"/>
      <c r="E159" s="8"/>
      <c r="F159">
        <v>9.1</v>
      </c>
    </row>
    <row r="160" spans="1:8" x14ac:dyDescent="0.25">
      <c r="A160" t="s">
        <v>71</v>
      </c>
      <c r="C160" s="8">
        <v>1187</v>
      </c>
      <c r="D160" s="8"/>
      <c r="E160" s="8"/>
      <c r="F160">
        <v>8.07</v>
      </c>
    </row>
    <row r="161" spans="1:8" x14ac:dyDescent="0.25">
      <c r="A161" t="s">
        <v>72</v>
      </c>
      <c r="C161" s="8">
        <v>930.6</v>
      </c>
      <c r="D161" s="8"/>
      <c r="E161" s="8"/>
      <c r="F161">
        <v>7.91</v>
      </c>
    </row>
    <row r="162" spans="1:8" x14ac:dyDescent="0.25">
      <c r="A162" t="s">
        <v>73</v>
      </c>
      <c r="C162" s="8">
        <v>1243</v>
      </c>
      <c r="D162" s="8"/>
      <c r="E162" s="8"/>
      <c r="F162">
        <v>8.06</v>
      </c>
    </row>
    <row r="163" spans="1:8" x14ac:dyDescent="0.25">
      <c r="A163" s="5" t="s">
        <v>125</v>
      </c>
      <c r="B163" s="5"/>
      <c r="C163" s="7">
        <v>345.9</v>
      </c>
      <c r="D163" s="7"/>
      <c r="E163" s="7"/>
      <c r="G163" s="6">
        <v>8.2100000000000009</v>
      </c>
    </row>
    <row r="164" spans="1:8" x14ac:dyDescent="0.25">
      <c r="A164" t="s">
        <v>174</v>
      </c>
    </row>
    <row r="165" spans="1:8" x14ac:dyDescent="0.25">
      <c r="A165" t="s">
        <v>175</v>
      </c>
    </row>
    <row r="166" spans="1:8" x14ac:dyDescent="0.25">
      <c r="A166" t="s">
        <v>176</v>
      </c>
    </row>
    <row r="167" spans="1:8" x14ac:dyDescent="0.25">
      <c r="A167" t="s">
        <v>177</v>
      </c>
    </row>
    <row r="168" spans="1:8" x14ac:dyDescent="0.25">
      <c r="A168" s="5" t="s">
        <v>126</v>
      </c>
      <c r="B168" s="5"/>
      <c r="C168" s="7">
        <v>2020</v>
      </c>
      <c r="D168" s="7"/>
      <c r="E168" s="7"/>
      <c r="G168" s="6">
        <v>8.01</v>
      </c>
      <c r="H168" s="6">
        <v>8.02</v>
      </c>
    </row>
    <row r="169" spans="1:8" x14ac:dyDescent="0.25">
      <c r="A169" t="s">
        <v>178</v>
      </c>
      <c r="E169">
        <v>7.96</v>
      </c>
    </row>
    <row r="170" spans="1:8" x14ac:dyDescent="0.25">
      <c r="A170" t="s">
        <v>74</v>
      </c>
      <c r="C170" s="8">
        <v>275.10000000000002</v>
      </c>
      <c r="D170" s="8"/>
      <c r="E170" s="8"/>
      <c r="F170" s="2">
        <v>9.6300000000000008</v>
      </c>
    </row>
    <row r="171" spans="1:8" x14ac:dyDescent="0.25">
      <c r="A171" t="s">
        <v>75</v>
      </c>
      <c r="C171" s="8">
        <v>535.9</v>
      </c>
      <c r="D171" s="8"/>
      <c r="E171" s="8"/>
      <c r="F171" s="2">
        <v>9.1199999999999992</v>
      </c>
    </row>
    <row r="172" spans="1:8" x14ac:dyDescent="0.25">
      <c r="A172" t="s">
        <v>76</v>
      </c>
      <c r="C172" s="8">
        <v>524.5</v>
      </c>
      <c r="D172" s="8"/>
      <c r="E172" s="8"/>
      <c r="F172" s="2">
        <v>8.56</v>
      </c>
    </row>
    <row r="173" spans="1:8" x14ac:dyDescent="0.25">
      <c r="A173" t="s">
        <v>77</v>
      </c>
      <c r="C173" s="8">
        <v>673.8</v>
      </c>
      <c r="D173" s="8"/>
      <c r="E173" s="8"/>
      <c r="F173" s="2">
        <v>8.51</v>
      </c>
    </row>
    <row r="174" spans="1:8" x14ac:dyDescent="0.25">
      <c r="A174" t="s">
        <v>78</v>
      </c>
      <c r="C174" s="8">
        <v>412.7</v>
      </c>
      <c r="D174" s="8"/>
      <c r="E174" s="8"/>
      <c r="F174" s="2">
        <v>8.91</v>
      </c>
    </row>
    <row r="175" spans="1:8" x14ac:dyDescent="0.25">
      <c r="A175" t="s">
        <v>179</v>
      </c>
    </row>
    <row r="176" spans="1:8" x14ac:dyDescent="0.25">
      <c r="A176" t="s">
        <v>180</v>
      </c>
    </row>
    <row r="177" spans="1:1" x14ac:dyDescent="0.25">
      <c r="A177" t="s">
        <v>181</v>
      </c>
    </row>
    <row r="178" spans="1:1" x14ac:dyDescent="0.25">
      <c r="A178" t="s">
        <v>182</v>
      </c>
    </row>
    <row r="179" spans="1:1" x14ac:dyDescent="0.25">
      <c r="A179" t="s">
        <v>183</v>
      </c>
    </row>
  </sheetData>
  <autoFilter ref="A1:I179"/>
  <pageMargins left="0.7" right="0.7" top="0.75" bottom="0.75" header="0.3" footer="0.3"/>
  <pageSetup scale="7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workbookViewId="0">
      <selection activeCell="E8" sqref="E8"/>
    </sheetView>
  </sheetViews>
  <sheetFormatPr defaultRowHeight="15" x14ac:dyDescent="0.25"/>
  <cols>
    <col min="1" max="1" width="14.5703125" bestFit="1" customWidth="1"/>
  </cols>
  <sheetData>
    <row r="1" spans="1:3" x14ac:dyDescent="0.25">
      <c r="A1" t="s">
        <v>195</v>
      </c>
      <c r="B1" s="18" t="s">
        <v>197</v>
      </c>
      <c r="C1" s="18" t="s">
        <v>196</v>
      </c>
    </row>
    <row r="2" spans="1:3" x14ac:dyDescent="0.25">
      <c r="A2" s="12" t="s">
        <v>1</v>
      </c>
      <c r="B2" s="16">
        <v>417.8</v>
      </c>
      <c r="C2" s="14">
        <v>9.1</v>
      </c>
    </row>
    <row r="3" spans="1:3" x14ac:dyDescent="0.25">
      <c r="A3" s="12" t="s">
        <v>2</v>
      </c>
      <c r="B3" s="16">
        <v>527</v>
      </c>
      <c r="C3" s="12">
        <v>8.7200000000000006</v>
      </c>
    </row>
    <row r="4" spans="1:3" x14ac:dyDescent="0.25">
      <c r="A4" s="12" t="s">
        <v>3</v>
      </c>
      <c r="B4" s="16">
        <v>760.8</v>
      </c>
      <c r="C4" s="12">
        <v>8.4499999999999993</v>
      </c>
    </row>
    <row r="5" spans="1:3" x14ac:dyDescent="0.25">
      <c r="A5" s="12" t="s">
        <v>4</v>
      </c>
      <c r="B5" s="16">
        <v>357.9</v>
      </c>
      <c r="C5" s="12">
        <v>8.33</v>
      </c>
    </row>
    <row r="6" spans="1:3" x14ac:dyDescent="0.25">
      <c r="A6" s="12" t="s">
        <v>84</v>
      </c>
      <c r="B6" s="16">
        <v>649.5</v>
      </c>
      <c r="C6" s="12">
        <v>8.92</v>
      </c>
    </row>
    <row r="7" spans="1:3" x14ac:dyDescent="0.25">
      <c r="A7" s="12" t="s">
        <v>85</v>
      </c>
      <c r="B7" s="16">
        <v>823</v>
      </c>
      <c r="C7" s="12">
        <v>8.86</v>
      </c>
    </row>
    <row r="8" spans="1:3" x14ac:dyDescent="0.25">
      <c r="A8" s="12" t="s">
        <v>86</v>
      </c>
      <c r="B8" s="16">
        <v>1243</v>
      </c>
      <c r="C8" s="12">
        <v>8.32</v>
      </c>
    </row>
    <row r="9" spans="1:3" x14ac:dyDescent="0.25">
      <c r="A9" s="12" t="s">
        <v>87</v>
      </c>
      <c r="B9" s="16">
        <v>536.4</v>
      </c>
      <c r="C9" s="12">
        <v>8.91</v>
      </c>
    </row>
    <row r="10" spans="1:3" x14ac:dyDescent="0.25">
      <c r="A10" s="12" t="s">
        <v>7</v>
      </c>
      <c r="B10" s="16">
        <v>743.5</v>
      </c>
      <c r="C10" s="12">
        <v>8.39</v>
      </c>
    </row>
    <row r="11" spans="1:3" x14ac:dyDescent="0.25">
      <c r="A11" s="12" t="s">
        <v>8</v>
      </c>
      <c r="B11" s="16">
        <v>744.7</v>
      </c>
      <c r="C11" s="12">
        <v>8.67</v>
      </c>
    </row>
    <row r="12" spans="1:3" x14ac:dyDescent="0.25">
      <c r="A12" s="12" t="s">
        <v>9</v>
      </c>
      <c r="B12" s="16">
        <v>455.5</v>
      </c>
      <c r="C12" s="12">
        <v>8.49</v>
      </c>
    </row>
    <row r="13" spans="1:3" x14ac:dyDescent="0.25">
      <c r="A13" s="12" t="s">
        <v>10</v>
      </c>
      <c r="B13" s="16">
        <v>449.9</v>
      </c>
      <c r="C13" s="12">
        <v>8.75</v>
      </c>
    </row>
    <row r="14" spans="1:3" x14ac:dyDescent="0.25">
      <c r="A14" s="12" t="s">
        <v>127</v>
      </c>
      <c r="B14" s="16">
        <v>2420</v>
      </c>
      <c r="C14" s="12">
        <v>8.18</v>
      </c>
    </row>
    <row r="15" spans="1:3" x14ac:dyDescent="0.25">
      <c r="A15" s="12" t="s">
        <v>128</v>
      </c>
      <c r="B15" s="16">
        <v>675.2</v>
      </c>
      <c r="C15" s="12">
        <v>8.69</v>
      </c>
    </row>
    <row r="16" spans="1:3" x14ac:dyDescent="0.25">
      <c r="A16" s="12" t="s">
        <v>129</v>
      </c>
      <c r="B16" s="16">
        <v>687.6</v>
      </c>
      <c r="C16" s="14">
        <v>8.8000000000000007</v>
      </c>
    </row>
    <row r="17" spans="1:3" x14ac:dyDescent="0.25">
      <c r="A17" s="12" t="s">
        <v>130</v>
      </c>
      <c r="B17" s="16">
        <v>283.60000000000002</v>
      </c>
      <c r="C17" s="12">
        <v>8.69</v>
      </c>
    </row>
    <row r="18" spans="1:3" x14ac:dyDescent="0.25">
      <c r="A18" s="12" t="s">
        <v>131</v>
      </c>
      <c r="B18" s="16">
        <v>869.5</v>
      </c>
      <c r="C18" s="12">
        <v>8.44</v>
      </c>
    </row>
    <row r="19" spans="1:3" x14ac:dyDescent="0.25">
      <c r="A19" s="12" t="s">
        <v>132</v>
      </c>
      <c r="B19" s="16">
        <v>1991</v>
      </c>
      <c r="C19" s="12">
        <v>8.18</v>
      </c>
    </row>
    <row r="20" spans="1:3" x14ac:dyDescent="0.25">
      <c r="A20" s="12" t="s">
        <v>11</v>
      </c>
      <c r="B20" s="16">
        <v>1016</v>
      </c>
      <c r="C20" s="12">
        <v>7.66</v>
      </c>
    </row>
    <row r="21" spans="1:3" x14ac:dyDescent="0.25">
      <c r="A21" s="12" t="s">
        <v>12</v>
      </c>
      <c r="B21" s="16">
        <v>695.5</v>
      </c>
      <c r="C21" s="12">
        <v>8.77</v>
      </c>
    </row>
    <row r="22" spans="1:3" x14ac:dyDescent="0.25">
      <c r="A22" s="12" t="s">
        <v>13</v>
      </c>
      <c r="B22" s="16">
        <v>391.6</v>
      </c>
      <c r="C22" s="12">
        <v>8.43</v>
      </c>
    </row>
    <row r="23" spans="1:3" x14ac:dyDescent="0.25">
      <c r="A23" s="12" t="s">
        <v>14</v>
      </c>
      <c r="B23" s="16">
        <v>829.9</v>
      </c>
      <c r="C23" s="12">
        <v>8.52</v>
      </c>
    </row>
    <row r="24" spans="1:3" x14ac:dyDescent="0.25">
      <c r="A24" s="12" t="s">
        <v>89</v>
      </c>
      <c r="B24" s="16">
        <v>590.29999999999995</v>
      </c>
      <c r="C24" s="12">
        <v>8.31</v>
      </c>
    </row>
    <row r="25" spans="1:3" x14ac:dyDescent="0.25">
      <c r="A25" s="13" t="s">
        <v>90</v>
      </c>
      <c r="B25" s="17">
        <v>542.4</v>
      </c>
      <c r="C25" s="13">
        <v>8.92</v>
      </c>
    </row>
    <row r="26" spans="1:3" x14ac:dyDescent="0.25">
      <c r="A26" s="13" t="s">
        <v>91</v>
      </c>
      <c r="B26" s="17">
        <v>572.5</v>
      </c>
      <c r="C26" s="15">
        <v>8.4</v>
      </c>
    </row>
    <row r="27" spans="1:3" x14ac:dyDescent="0.25">
      <c r="A27" s="13" t="s">
        <v>92</v>
      </c>
      <c r="B27" s="17">
        <v>478.5</v>
      </c>
      <c r="C27" s="13">
        <v>8.84</v>
      </c>
    </row>
    <row r="28" spans="1:3" x14ac:dyDescent="0.25">
      <c r="A28" s="13" t="s">
        <v>16</v>
      </c>
      <c r="B28" s="17">
        <v>458.5</v>
      </c>
      <c r="C28" s="13">
        <v>8.25</v>
      </c>
    </row>
    <row r="29" spans="1:3" x14ac:dyDescent="0.25">
      <c r="A29" s="13" t="s">
        <v>17</v>
      </c>
      <c r="B29" s="17">
        <v>639.79999999999995</v>
      </c>
      <c r="C29" s="13">
        <v>8.92</v>
      </c>
    </row>
    <row r="30" spans="1:3" x14ac:dyDescent="0.25">
      <c r="A30" s="13" t="s">
        <v>18</v>
      </c>
      <c r="B30" s="17">
        <v>507.5</v>
      </c>
      <c r="C30" s="13">
        <v>8.7100000000000009</v>
      </c>
    </row>
    <row r="31" spans="1:3" x14ac:dyDescent="0.25">
      <c r="A31" s="13" t="s">
        <v>19</v>
      </c>
      <c r="B31" s="17">
        <v>435.2</v>
      </c>
      <c r="C31" s="13">
        <v>8.33</v>
      </c>
    </row>
    <row r="32" spans="1:3" x14ac:dyDescent="0.25">
      <c r="A32" s="13" t="s">
        <v>94</v>
      </c>
      <c r="B32" s="17">
        <v>468.1</v>
      </c>
      <c r="C32" s="13">
        <v>8.9600000000000009</v>
      </c>
    </row>
    <row r="33" spans="1:3" x14ac:dyDescent="0.25">
      <c r="A33" s="13" t="s">
        <v>95</v>
      </c>
      <c r="B33" s="17">
        <v>545.1</v>
      </c>
      <c r="C33" s="13">
        <v>9.26</v>
      </c>
    </row>
    <row r="34" spans="1:3" x14ac:dyDescent="0.25">
      <c r="A34" s="13" t="s">
        <v>96</v>
      </c>
      <c r="B34" s="17">
        <v>556.29999999999995</v>
      </c>
      <c r="C34" s="13">
        <v>9.0399999999999991</v>
      </c>
    </row>
    <row r="35" spans="1:3" x14ac:dyDescent="0.25">
      <c r="A35" s="13" t="s">
        <v>97</v>
      </c>
      <c r="B35" s="17">
        <v>408.2</v>
      </c>
      <c r="C35" s="13">
        <v>8.39</v>
      </c>
    </row>
    <row r="36" spans="1:3" x14ac:dyDescent="0.25">
      <c r="A36" s="13" t="s">
        <v>21</v>
      </c>
      <c r="B36" s="17">
        <v>734.3</v>
      </c>
      <c r="C36" s="13">
        <v>8.67</v>
      </c>
    </row>
    <row r="37" spans="1:3" x14ac:dyDescent="0.25">
      <c r="A37" s="13" t="s">
        <v>22</v>
      </c>
      <c r="B37" s="17">
        <v>707.1</v>
      </c>
      <c r="C37" s="13">
        <v>8.44</v>
      </c>
    </row>
    <row r="38" spans="1:3" x14ac:dyDescent="0.25">
      <c r="A38" s="13" t="s">
        <v>23</v>
      </c>
      <c r="B38" s="17">
        <v>556.79999999999995</v>
      </c>
      <c r="C38" s="13">
        <v>8.8699999999999992</v>
      </c>
    </row>
    <row r="39" spans="1:3" x14ac:dyDescent="0.25">
      <c r="A39" s="13" t="s">
        <v>24</v>
      </c>
      <c r="B39" s="17">
        <v>361.2</v>
      </c>
      <c r="C39" s="15">
        <v>8.8000000000000007</v>
      </c>
    </row>
    <row r="40" spans="1:3" x14ac:dyDescent="0.25">
      <c r="A40" s="13" t="s">
        <v>25</v>
      </c>
      <c r="B40" s="17">
        <v>1206</v>
      </c>
      <c r="C40" s="13">
        <v>8.3699999999999992</v>
      </c>
    </row>
    <row r="41" spans="1:3" x14ac:dyDescent="0.25">
      <c r="A41" s="13" t="s">
        <v>194</v>
      </c>
      <c r="B41" s="17">
        <v>1700</v>
      </c>
      <c r="C41" s="13">
        <v>8.17</v>
      </c>
    </row>
    <row r="42" spans="1:3" x14ac:dyDescent="0.25">
      <c r="A42" s="13" t="s">
        <v>105</v>
      </c>
      <c r="B42" s="17">
        <v>648.29999999999995</v>
      </c>
      <c r="C42" s="15">
        <v>8.9</v>
      </c>
    </row>
    <row r="43" spans="1:3" x14ac:dyDescent="0.25">
      <c r="A43" s="13" t="s">
        <v>106</v>
      </c>
      <c r="B43" s="17">
        <v>630.79999999999995</v>
      </c>
      <c r="C43" s="13">
        <v>8.77</v>
      </c>
    </row>
    <row r="44" spans="1:3" x14ac:dyDescent="0.25">
      <c r="A44" s="13" t="s">
        <v>107</v>
      </c>
      <c r="B44" s="17">
        <v>363.3</v>
      </c>
      <c r="C44" s="13">
        <v>9.07</v>
      </c>
    </row>
    <row r="45" spans="1:3" x14ac:dyDescent="0.25">
      <c r="A45" s="13" t="s">
        <v>108</v>
      </c>
      <c r="B45" s="17">
        <v>224.5</v>
      </c>
      <c r="C45" s="13">
        <v>9.0500000000000007</v>
      </c>
    </row>
    <row r="46" spans="1:3" x14ac:dyDescent="0.25">
      <c r="A46" s="13" t="s">
        <v>109</v>
      </c>
      <c r="B46" s="17">
        <v>410.6</v>
      </c>
      <c r="C46" s="13">
        <v>8.93</v>
      </c>
    </row>
    <row r="47" spans="1:3" x14ac:dyDescent="0.25">
      <c r="A47" s="13" t="s">
        <v>110</v>
      </c>
      <c r="B47" s="17">
        <v>1047</v>
      </c>
      <c r="C47" s="13">
        <v>8.27</v>
      </c>
    </row>
    <row r="48" spans="1:3" x14ac:dyDescent="0.25">
      <c r="A48" s="13" t="s">
        <v>39</v>
      </c>
      <c r="B48" s="17">
        <v>709.3</v>
      </c>
      <c r="C48" s="13">
        <v>8.86</v>
      </c>
    </row>
    <row r="49" spans="1:3" x14ac:dyDescent="0.25">
      <c r="A49" s="13" t="s">
        <v>40</v>
      </c>
      <c r="B49" s="17">
        <v>525.5</v>
      </c>
      <c r="C49" s="13">
        <v>8.7799999999999994</v>
      </c>
    </row>
    <row r="50" spans="1:3" x14ac:dyDescent="0.25">
      <c r="A50" s="13" t="s">
        <v>41</v>
      </c>
      <c r="B50" s="17">
        <v>488.6</v>
      </c>
      <c r="C50" s="13">
        <v>8.85</v>
      </c>
    </row>
    <row r="51" spans="1:3" x14ac:dyDescent="0.25">
      <c r="A51" s="13" t="s">
        <v>100</v>
      </c>
      <c r="B51" s="17">
        <v>767.1</v>
      </c>
      <c r="C51" s="13">
        <v>8.86</v>
      </c>
    </row>
    <row r="52" spans="1:3" x14ac:dyDescent="0.25">
      <c r="A52" s="13" t="s">
        <v>101</v>
      </c>
      <c r="B52" s="17">
        <v>643.5</v>
      </c>
      <c r="C52" s="13">
        <v>9.0299999999999994</v>
      </c>
    </row>
    <row r="53" spans="1:3" x14ac:dyDescent="0.25">
      <c r="A53" s="13" t="s">
        <v>102</v>
      </c>
      <c r="B53" s="17">
        <v>442.7</v>
      </c>
      <c r="C53" s="13">
        <v>9.2799999999999994</v>
      </c>
    </row>
    <row r="54" spans="1:3" x14ac:dyDescent="0.25">
      <c r="A54" s="13" t="s">
        <v>103</v>
      </c>
      <c r="B54" s="17">
        <v>305.7</v>
      </c>
      <c r="C54" s="13">
        <v>9.33</v>
      </c>
    </row>
  </sheetData>
  <sortState ref="A2:C54">
    <sortCondition ref="A2:A5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0" sqref="A50:XFD55"/>
    </sheetView>
  </sheetViews>
  <sheetFormatPr defaultColWidth="8.85546875" defaultRowHeight="15" x14ac:dyDescent="0.25"/>
  <cols>
    <col min="1" max="1" width="15.7109375" bestFit="1" customWidth="1"/>
    <col min="2" max="2" width="15.85546875" customWidth="1"/>
    <col min="3" max="3" width="19.140625" customWidth="1"/>
    <col min="4" max="4" width="18.7109375" customWidth="1"/>
    <col min="5" max="5" width="14.28515625" bestFit="1" customWidth="1"/>
    <col min="6" max="6" width="15.28515625" bestFit="1" customWidth="1"/>
    <col min="7" max="7" width="16.28515625" customWidth="1"/>
  </cols>
  <sheetData>
    <row r="1" spans="1:7" ht="45" x14ac:dyDescent="0.25">
      <c r="A1" s="1" t="s">
        <v>0</v>
      </c>
      <c r="B1" s="4" t="s">
        <v>81</v>
      </c>
      <c r="C1" s="4" t="s">
        <v>82</v>
      </c>
      <c r="D1" s="4" t="s">
        <v>83</v>
      </c>
      <c r="E1" s="3" t="s">
        <v>79</v>
      </c>
      <c r="F1" s="1" t="s">
        <v>80</v>
      </c>
      <c r="G1" s="4" t="s">
        <v>111</v>
      </c>
    </row>
    <row r="2" spans="1:7" x14ac:dyDescent="0.25">
      <c r="A2" t="s">
        <v>1</v>
      </c>
      <c r="B2">
        <v>363.3</v>
      </c>
      <c r="C2" s="9">
        <v>1420</v>
      </c>
      <c r="D2" s="8">
        <v>300.3</v>
      </c>
      <c r="E2">
        <v>9.42</v>
      </c>
      <c r="F2">
        <v>8.89</v>
      </c>
    </row>
    <row r="3" spans="1:7" x14ac:dyDescent="0.25">
      <c r="A3" t="s">
        <v>2</v>
      </c>
      <c r="B3">
        <v>554.5</v>
      </c>
      <c r="C3" s="9">
        <v>1174</v>
      </c>
      <c r="D3" s="8">
        <v>599.4</v>
      </c>
      <c r="E3">
        <v>8.93</v>
      </c>
      <c r="F3">
        <v>8.34</v>
      </c>
    </row>
    <row r="4" spans="1:7" x14ac:dyDescent="0.25">
      <c r="A4" t="s">
        <v>3</v>
      </c>
      <c r="B4">
        <v>611.1</v>
      </c>
      <c r="C4" s="9">
        <v>1626</v>
      </c>
      <c r="D4" s="8">
        <v>818.2</v>
      </c>
      <c r="E4">
        <v>8.7200000000000006</v>
      </c>
      <c r="F4">
        <v>7.93</v>
      </c>
    </row>
    <row r="5" spans="1:7" x14ac:dyDescent="0.25">
      <c r="A5" t="s">
        <v>4</v>
      </c>
      <c r="B5">
        <v>287.7</v>
      </c>
      <c r="C5" s="9">
        <v>792.7</v>
      </c>
      <c r="D5" s="8">
        <v>372.1</v>
      </c>
      <c r="E5">
        <v>9.4</v>
      </c>
      <c r="F5">
        <v>8.4600000000000009</v>
      </c>
    </row>
    <row r="6" spans="1:7" x14ac:dyDescent="0.25">
      <c r="A6" t="s">
        <v>5</v>
      </c>
      <c r="B6">
        <v>2260</v>
      </c>
      <c r="C6" s="9">
        <v>2310</v>
      </c>
      <c r="D6" s="8">
        <v>2760</v>
      </c>
      <c r="E6">
        <v>8.4499999999999993</v>
      </c>
      <c r="F6">
        <v>8.17</v>
      </c>
    </row>
    <row r="7" spans="1:7" x14ac:dyDescent="0.25">
      <c r="A7" t="s">
        <v>6</v>
      </c>
      <c r="B7">
        <v>5060</v>
      </c>
      <c r="C7" s="9">
        <v>618.5</v>
      </c>
      <c r="D7" s="8">
        <v>5010</v>
      </c>
      <c r="E7">
        <v>8.44</v>
      </c>
      <c r="F7">
        <v>8.1999999999999993</v>
      </c>
    </row>
    <row r="8" spans="1:7" x14ac:dyDescent="0.25">
      <c r="A8" t="s">
        <v>84</v>
      </c>
      <c r="C8" s="5">
        <v>563.29999999999995</v>
      </c>
      <c r="F8">
        <v>7.67</v>
      </c>
    </row>
    <row r="9" spans="1:7" x14ac:dyDescent="0.25">
      <c r="A9" t="s">
        <v>85</v>
      </c>
      <c r="C9" s="5">
        <v>924.7</v>
      </c>
      <c r="F9">
        <v>7.65</v>
      </c>
    </row>
    <row r="10" spans="1:7" x14ac:dyDescent="0.25">
      <c r="A10" s="5" t="s">
        <v>86</v>
      </c>
      <c r="C10" s="5">
        <v>1287</v>
      </c>
      <c r="F10">
        <v>8.8699999999999992</v>
      </c>
    </row>
    <row r="11" spans="1:7" x14ac:dyDescent="0.25">
      <c r="A11" s="5" t="s">
        <v>87</v>
      </c>
      <c r="C11" s="5">
        <v>563.1</v>
      </c>
      <c r="F11">
        <v>9.19</v>
      </c>
    </row>
    <row r="12" spans="1:7" x14ac:dyDescent="0.25">
      <c r="A12" s="5" t="s">
        <v>88</v>
      </c>
      <c r="C12" s="5">
        <v>1745</v>
      </c>
      <c r="F12">
        <v>8.77</v>
      </c>
    </row>
    <row r="13" spans="1:7" x14ac:dyDescent="0.25">
      <c r="A13" t="s">
        <v>7</v>
      </c>
      <c r="B13">
        <v>664.6</v>
      </c>
      <c r="C13" s="8">
        <v>777.5</v>
      </c>
      <c r="E13">
        <v>9.0399999999999991</v>
      </c>
      <c r="F13" s="8">
        <v>8.26</v>
      </c>
    </row>
    <row r="14" spans="1:7" x14ac:dyDescent="0.25">
      <c r="A14" t="s">
        <v>8</v>
      </c>
      <c r="B14">
        <v>582.1</v>
      </c>
      <c r="C14" s="8">
        <v>820</v>
      </c>
      <c r="E14">
        <v>9.2100000000000009</v>
      </c>
      <c r="F14" s="8">
        <v>8.67</v>
      </c>
    </row>
    <row r="15" spans="1:7" x14ac:dyDescent="0.25">
      <c r="A15" t="s">
        <v>9</v>
      </c>
      <c r="B15">
        <v>332.2</v>
      </c>
      <c r="C15" s="8">
        <v>441.6</v>
      </c>
      <c r="E15">
        <v>9.0500000000000007</v>
      </c>
      <c r="F15" s="8">
        <v>8.14</v>
      </c>
    </row>
    <row r="16" spans="1:7" x14ac:dyDescent="0.25">
      <c r="A16" t="s">
        <v>10</v>
      </c>
      <c r="B16">
        <v>382.3</v>
      </c>
      <c r="C16" s="8">
        <v>423.8</v>
      </c>
      <c r="E16">
        <v>9.24</v>
      </c>
      <c r="F16" s="8">
        <v>8.34</v>
      </c>
    </row>
    <row r="17" spans="1:6" x14ac:dyDescent="0.25">
      <c r="A17" t="s">
        <v>127</v>
      </c>
      <c r="C17" s="8">
        <v>2470</v>
      </c>
      <c r="F17" s="8">
        <v>8.2100000000000009</v>
      </c>
    </row>
    <row r="18" spans="1:6" x14ac:dyDescent="0.25">
      <c r="A18" t="s">
        <v>128</v>
      </c>
      <c r="C18" s="8">
        <v>660.1</v>
      </c>
      <c r="F18" s="8">
        <v>8.43</v>
      </c>
    </row>
    <row r="19" spans="1:6" x14ac:dyDescent="0.25">
      <c r="A19" t="s">
        <v>129</v>
      </c>
      <c r="C19" s="8">
        <v>711.9</v>
      </c>
      <c r="F19" s="8">
        <v>8.5399999999999991</v>
      </c>
    </row>
    <row r="20" spans="1:6" x14ac:dyDescent="0.25">
      <c r="A20" t="s">
        <v>130</v>
      </c>
      <c r="C20" s="8">
        <v>380.6</v>
      </c>
      <c r="F20" s="8">
        <v>8.1300000000000008</v>
      </c>
    </row>
    <row r="21" spans="1:6" x14ac:dyDescent="0.25">
      <c r="A21" t="s">
        <v>131</v>
      </c>
      <c r="C21" s="8">
        <v>1069</v>
      </c>
      <c r="F21" s="8">
        <v>8.2100000000000009</v>
      </c>
    </row>
    <row r="22" spans="1:6" x14ac:dyDescent="0.25">
      <c r="A22" t="s">
        <v>132</v>
      </c>
      <c r="C22" s="8">
        <v>2060</v>
      </c>
      <c r="F22" s="8">
        <v>8.3000000000000007</v>
      </c>
    </row>
    <row r="23" spans="1:6" x14ac:dyDescent="0.25">
      <c r="A23" t="s">
        <v>11</v>
      </c>
      <c r="B23">
        <v>668.4</v>
      </c>
      <c r="C23" s="10">
        <v>2870</v>
      </c>
      <c r="D23" s="8">
        <v>721.9</v>
      </c>
      <c r="E23">
        <v>8.83</v>
      </c>
      <c r="F23" s="8">
        <v>9.1</v>
      </c>
    </row>
    <row r="24" spans="1:6" x14ac:dyDescent="0.25">
      <c r="A24" t="s">
        <v>12</v>
      </c>
      <c r="B24">
        <v>719.6</v>
      </c>
      <c r="C24" s="9">
        <v>1605</v>
      </c>
      <c r="D24" s="8">
        <v>629.29999999999995</v>
      </c>
      <c r="E24">
        <v>8.92</v>
      </c>
      <c r="F24" s="8">
        <v>8.5500000000000007</v>
      </c>
    </row>
    <row r="25" spans="1:6" x14ac:dyDescent="0.25">
      <c r="A25" t="s">
        <v>13</v>
      </c>
      <c r="B25">
        <v>387.1</v>
      </c>
      <c r="C25" s="9">
        <v>708.3</v>
      </c>
      <c r="D25" s="8">
        <v>351.9</v>
      </c>
      <c r="E25">
        <v>8.75</v>
      </c>
      <c r="F25" s="8">
        <v>8.27</v>
      </c>
    </row>
    <row r="26" spans="1:6" x14ac:dyDescent="0.25">
      <c r="A26" t="s">
        <v>14</v>
      </c>
      <c r="B26">
        <v>740.3</v>
      </c>
      <c r="C26" s="9">
        <v>897.5</v>
      </c>
      <c r="D26" s="8">
        <v>906.4</v>
      </c>
      <c r="E26">
        <v>8.83</v>
      </c>
      <c r="F26" s="8">
        <v>8.18</v>
      </c>
    </row>
    <row r="27" spans="1:6" x14ac:dyDescent="0.25">
      <c r="A27" t="s">
        <v>15</v>
      </c>
      <c r="B27">
        <v>2260</v>
      </c>
      <c r="C27" s="9">
        <v>724.7</v>
      </c>
      <c r="D27" s="8">
        <v>2470</v>
      </c>
      <c r="E27">
        <v>8.4499999999999993</v>
      </c>
      <c r="F27" s="8">
        <v>8.27</v>
      </c>
    </row>
    <row r="28" spans="1:6" x14ac:dyDescent="0.25">
      <c r="A28" s="5" t="s">
        <v>89</v>
      </c>
      <c r="C28" s="5">
        <v>505.7</v>
      </c>
      <c r="F28" s="5">
        <v>7.58</v>
      </c>
    </row>
    <row r="29" spans="1:6" x14ac:dyDescent="0.25">
      <c r="A29" s="5" t="s">
        <v>90</v>
      </c>
      <c r="C29" s="5">
        <v>504.8</v>
      </c>
      <c r="F29" s="5">
        <v>7.87</v>
      </c>
    </row>
    <row r="30" spans="1:6" x14ac:dyDescent="0.25">
      <c r="A30" s="5" t="s">
        <v>91</v>
      </c>
      <c r="C30" s="5">
        <v>460</v>
      </c>
      <c r="F30" s="5">
        <v>7.52</v>
      </c>
    </row>
    <row r="31" spans="1:6" x14ac:dyDescent="0.25">
      <c r="A31" s="5" t="s">
        <v>92</v>
      </c>
      <c r="C31" s="5">
        <v>447.8</v>
      </c>
      <c r="F31" s="5">
        <v>7.65</v>
      </c>
    </row>
    <row r="32" spans="1:6" x14ac:dyDescent="0.25">
      <c r="A32" s="5" t="s">
        <v>93</v>
      </c>
      <c r="C32" s="7">
        <v>2250</v>
      </c>
      <c r="F32" s="5">
        <v>7.49</v>
      </c>
    </row>
    <row r="33" spans="1:6" x14ac:dyDescent="0.25">
      <c r="A33" t="s">
        <v>16</v>
      </c>
      <c r="B33">
        <v>331.5</v>
      </c>
      <c r="C33" s="9">
        <v>689.9</v>
      </c>
      <c r="D33" s="8">
        <v>495.5</v>
      </c>
      <c r="E33">
        <v>9.15</v>
      </c>
      <c r="F33" s="8">
        <v>8.8000000000000007</v>
      </c>
    </row>
    <row r="34" spans="1:6" x14ac:dyDescent="0.25">
      <c r="A34" t="s">
        <v>17</v>
      </c>
      <c r="B34">
        <v>495.6</v>
      </c>
      <c r="C34" s="9">
        <v>1263</v>
      </c>
      <c r="D34" s="8">
        <v>668</v>
      </c>
      <c r="E34">
        <v>9.24</v>
      </c>
      <c r="F34" s="8">
        <v>8.82</v>
      </c>
    </row>
    <row r="35" spans="1:6" x14ac:dyDescent="0.25">
      <c r="A35" t="s">
        <v>18</v>
      </c>
      <c r="B35">
        <v>317.89999999999998</v>
      </c>
      <c r="C35" s="9">
        <v>2740</v>
      </c>
      <c r="D35" s="8">
        <v>469.7</v>
      </c>
      <c r="E35">
        <v>9.52</v>
      </c>
      <c r="F35" s="8">
        <v>8.65</v>
      </c>
    </row>
    <row r="36" spans="1:6" x14ac:dyDescent="0.25">
      <c r="A36" t="s">
        <v>19</v>
      </c>
      <c r="B36">
        <v>288.39999999999998</v>
      </c>
      <c r="C36" s="9">
        <v>797.3</v>
      </c>
      <c r="D36" s="8">
        <v>430.1</v>
      </c>
      <c r="E36">
        <v>9.23</v>
      </c>
      <c r="F36" s="8">
        <v>8.4</v>
      </c>
    </row>
    <row r="37" spans="1:6" x14ac:dyDescent="0.25">
      <c r="A37" t="s">
        <v>20</v>
      </c>
      <c r="B37">
        <v>2140</v>
      </c>
      <c r="C37" s="9">
        <v>1878</v>
      </c>
      <c r="D37" s="8">
        <v>2490</v>
      </c>
      <c r="E37">
        <v>8.51</v>
      </c>
      <c r="F37" s="8">
        <v>8.32</v>
      </c>
    </row>
    <row r="38" spans="1:6" x14ac:dyDescent="0.25">
      <c r="A38" s="5" t="s">
        <v>94</v>
      </c>
      <c r="C38" s="5">
        <v>443.9</v>
      </c>
      <c r="F38" s="8">
        <v>8.73</v>
      </c>
    </row>
    <row r="39" spans="1:6" x14ac:dyDescent="0.25">
      <c r="A39" s="5" t="s">
        <v>95</v>
      </c>
      <c r="C39" s="5">
        <v>591.79999999999995</v>
      </c>
      <c r="F39">
        <v>7.81</v>
      </c>
    </row>
    <row r="40" spans="1:6" x14ac:dyDescent="0.25">
      <c r="A40" s="5" t="s">
        <v>96</v>
      </c>
      <c r="C40" s="5">
        <v>500.6</v>
      </c>
      <c r="F40">
        <v>9.0299999999999994</v>
      </c>
    </row>
    <row r="41" spans="1:6" x14ac:dyDescent="0.25">
      <c r="A41" s="5" t="s">
        <v>97</v>
      </c>
      <c r="C41" s="7">
        <v>437.8</v>
      </c>
      <c r="F41">
        <v>7.6</v>
      </c>
    </row>
    <row r="42" spans="1:6" x14ac:dyDescent="0.25">
      <c r="A42" s="5" t="s">
        <v>98</v>
      </c>
      <c r="C42" s="5">
        <v>2010</v>
      </c>
      <c r="F42">
        <v>8.33</v>
      </c>
    </row>
    <row r="43" spans="1:6" x14ac:dyDescent="0.25">
      <c r="A43" s="5" t="s">
        <v>99</v>
      </c>
      <c r="C43" s="5">
        <v>3240</v>
      </c>
      <c r="F43">
        <v>7.76</v>
      </c>
    </row>
    <row r="44" spans="1:6" x14ac:dyDescent="0.25">
      <c r="A44" t="s">
        <v>21</v>
      </c>
      <c r="B44">
        <v>595.79999999999995</v>
      </c>
      <c r="C44" s="8">
        <v>865.1</v>
      </c>
      <c r="E44">
        <v>9.1199999999999992</v>
      </c>
      <c r="F44" s="8">
        <v>9.17</v>
      </c>
    </row>
    <row r="45" spans="1:6" x14ac:dyDescent="0.25">
      <c r="A45" t="s">
        <v>22</v>
      </c>
      <c r="B45">
        <v>934</v>
      </c>
      <c r="C45" s="8">
        <v>964.8</v>
      </c>
      <c r="E45">
        <v>8.8000000000000007</v>
      </c>
      <c r="F45" s="8">
        <v>8.94</v>
      </c>
    </row>
    <row r="46" spans="1:6" x14ac:dyDescent="0.25">
      <c r="A46" t="s">
        <v>23</v>
      </c>
      <c r="B46">
        <v>473.3</v>
      </c>
      <c r="C46" s="8">
        <v>503.4</v>
      </c>
      <c r="E46">
        <v>9.16</v>
      </c>
      <c r="F46" s="8">
        <v>9.34</v>
      </c>
    </row>
    <row r="47" spans="1:6" x14ac:dyDescent="0.25">
      <c r="A47" t="s">
        <v>24</v>
      </c>
      <c r="B47">
        <v>251.8</v>
      </c>
      <c r="C47" s="8">
        <v>307.8</v>
      </c>
      <c r="E47">
        <v>9.25</v>
      </c>
      <c r="F47" s="8">
        <v>9.35</v>
      </c>
    </row>
    <row r="48" spans="1:6" x14ac:dyDescent="0.25">
      <c r="A48" t="s">
        <v>25</v>
      </c>
      <c r="B48">
        <v>807.6</v>
      </c>
      <c r="C48" s="8">
        <v>1077</v>
      </c>
      <c r="E48">
        <v>8.64</v>
      </c>
      <c r="F48" s="8">
        <v>8.8699999999999992</v>
      </c>
    </row>
    <row r="49" spans="1:7" x14ac:dyDescent="0.25">
      <c r="A49" t="s">
        <v>26</v>
      </c>
      <c r="B49">
        <v>1524</v>
      </c>
      <c r="C49" s="8">
        <v>1800</v>
      </c>
      <c r="E49">
        <v>8.3699999999999992</v>
      </c>
      <c r="F49" s="8">
        <v>8.83</v>
      </c>
    </row>
    <row r="50" spans="1:7" x14ac:dyDescent="0.25">
      <c r="A50" s="5" t="s">
        <v>105</v>
      </c>
      <c r="C50" s="5">
        <v>651.5</v>
      </c>
      <c r="D50">
        <v>674.4</v>
      </c>
      <c r="F50" s="6">
        <v>8.2899999999999991</v>
      </c>
      <c r="G50">
        <v>7.98</v>
      </c>
    </row>
    <row r="51" spans="1:7" x14ac:dyDescent="0.25">
      <c r="A51" s="5" t="s">
        <v>106</v>
      </c>
      <c r="C51" s="5">
        <v>570.1</v>
      </c>
      <c r="F51" s="6">
        <v>8.65</v>
      </c>
    </row>
    <row r="52" spans="1:7" x14ac:dyDescent="0.25">
      <c r="A52" s="5" t="s">
        <v>107</v>
      </c>
      <c r="C52" s="5">
        <v>329.4</v>
      </c>
      <c r="D52">
        <v>393.7</v>
      </c>
      <c r="F52" s="6">
        <v>8.7799999999999994</v>
      </c>
      <c r="G52">
        <v>8.42</v>
      </c>
    </row>
    <row r="53" spans="1:7" x14ac:dyDescent="0.25">
      <c r="A53" s="5" t="s">
        <v>108</v>
      </c>
      <c r="C53" s="5">
        <v>260.60000000000002</v>
      </c>
      <c r="D53">
        <v>248</v>
      </c>
      <c r="F53" s="6">
        <v>8.4499999999999993</v>
      </c>
      <c r="G53">
        <v>8.4600000000000009</v>
      </c>
    </row>
    <row r="54" spans="1:7" x14ac:dyDescent="0.25">
      <c r="A54" s="5" t="s">
        <v>109</v>
      </c>
      <c r="C54" s="5">
        <v>420.2</v>
      </c>
      <c r="D54">
        <v>388</v>
      </c>
      <c r="F54" s="6">
        <v>8.7899999999999991</v>
      </c>
      <c r="G54">
        <v>8.4700000000000006</v>
      </c>
    </row>
    <row r="55" spans="1:7" x14ac:dyDescent="0.25">
      <c r="A55" s="5" t="s">
        <v>110</v>
      </c>
      <c r="C55" s="5">
        <v>1137</v>
      </c>
      <c r="F55" s="6">
        <v>7.98</v>
      </c>
    </row>
    <row r="56" spans="1:7" x14ac:dyDescent="0.25">
      <c r="A56" t="s">
        <v>27</v>
      </c>
      <c r="B56">
        <v>580.70000000000005</v>
      </c>
      <c r="C56" s="8">
        <v>799.6</v>
      </c>
      <c r="E56">
        <v>9.32</v>
      </c>
      <c r="F56" s="8">
        <v>9.15</v>
      </c>
    </row>
    <row r="57" spans="1:7" x14ac:dyDescent="0.25">
      <c r="A57" t="s">
        <v>28</v>
      </c>
      <c r="B57">
        <v>510.5</v>
      </c>
      <c r="C57" s="8">
        <v>595.5</v>
      </c>
      <c r="E57">
        <v>9.35</v>
      </c>
      <c r="F57" s="8">
        <v>9.42</v>
      </c>
    </row>
    <row r="58" spans="1:7" x14ac:dyDescent="0.25">
      <c r="A58" t="s">
        <v>29</v>
      </c>
      <c r="B58">
        <v>450</v>
      </c>
      <c r="C58" s="8">
        <v>525</v>
      </c>
      <c r="E58">
        <v>9.31</v>
      </c>
      <c r="F58" s="8">
        <v>9.3000000000000007</v>
      </c>
    </row>
    <row r="59" spans="1:7" x14ac:dyDescent="0.25">
      <c r="A59" t="s">
        <v>30</v>
      </c>
      <c r="B59">
        <v>912.3</v>
      </c>
      <c r="C59" s="8">
        <v>1240</v>
      </c>
      <c r="E59">
        <v>8.8000000000000007</v>
      </c>
      <c r="F59" s="8">
        <v>8.9</v>
      </c>
    </row>
    <row r="60" spans="1:7" x14ac:dyDescent="0.25">
      <c r="A60" t="s">
        <v>31</v>
      </c>
      <c r="B60">
        <v>2230</v>
      </c>
      <c r="C60" s="8">
        <v>2430</v>
      </c>
      <c r="E60">
        <v>8.0500000000000007</v>
      </c>
      <c r="F60" s="8">
        <v>8.52</v>
      </c>
    </row>
    <row r="61" spans="1:7" x14ac:dyDescent="0.25">
      <c r="A61" s="5" t="s">
        <v>112</v>
      </c>
      <c r="C61" s="5">
        <v>621.5</v>
      </c>
      <c r="D61" s="5">
        <v>687.5</v>
      </c>
      <c r="F61" s="6">
        <v>8.31</v>
      </c>
      <c r="G61" s="6">
        <v>8.43</v>
      </c>
    </row>
    <row r="62" spans="1:7" x14ac:dyDescent="0.25">
      <c r="A62" s="5" t="s">
        <v>113</v>
      </c>
      <c r="C62" s="5">
        <v>590.6</v>
      </c>
      <c r="D62" s="5">
        <v>587.70000000000005</v>
      </c>
      <c r="F62" s="6">
        <v>8.52</v>
      </c>
      <c r="G62" s="6">
        <v>8.15</v>
      </c>
    </row>
    <row r="63" spans="1:7" x14ac:dyDescent="0.25">
      <c r="A63" s="5" t="s">
        <v>114</v>
      </c>
      <c r="C63" s="5">
        <v>497.8</v>
      </c>
      <c r="D63" s="5">
        <v>509.6</v>
      </c>
      <c r="F63" s="6">
        <v>8.44</v>
      </c>
      <c r="G63" s="6">
        <v>8.76</v>
      </c>
    </row>
    <row r="64" spans="1:7" x14ac:dyDescent="0.25">
      <c r="A64" s="5" t="s">
        <v>115</v>
      </c>
      <c r="C64" s="5">
        <v>386.6</v>
      </c>
      <c r="D64" s="5">
        <v>468.4</v>
      </c>
      <c r="F64" s="6">
        <v>8.25</v>
      </c>
      <c r="G64" s="6">
        <v>8.07</v>
      </c>
    </row>
    <row r="65" spans="1:7" x14ac:dyDescent="0.25">
      <c r="A65" s="5" t="s">
        <v>116</v>
      </c>
      <c r="C65" s="5">
        <v>3550</v>
      </c>
      <c r="D65" s="5">
        <v>2950</v>
      </c>
      <c r="F65" s="6">
        <v>7.76</v>
      </c>
      <c r="G65" s="6">
        <v>8.27</v>
      </c>
    </row>
    <row r="66" spans="1:7" x14ac:dyDescent="0.25">
      <c r="A66" t="s">
        <v>32</v>
      </c>
      <c r="B66">
        <v>455.4</v>
      </c>
      <c r="C66" s="8">
        <v>673.9</v>
      </c>
      <c r="E66">
        <v>9.33</v>
      </c>
      <c r="F66" s="8">
        <v>9.2100000000000009</v>
      </c>
    </row>
    <row r="67" spans="1:7" x14ac:dyDescent="0.25">
      <c r="A67" t="s">
        <v>33</v>
      </c>
      <c r="B67">
        <v>476.8</v>
      </c>
      <c r="C67" s="8">
        <v>689.8</v>
      </c>
      <c r="E67">
        <v>8.81</v>
      </c>
      <c r="F67" s="8">
        <v>8.89</v>
      </c>
    </row>
    <row r="68" spans="1:7" x14ac:dyDescent="0.25">
      <c r="A68" t="s">
        <v>34</v>
      </c>
      <c r="B68">
        <v>313.89999999999998</v>
      </c>
      <c r="C68" s="8">
        <v>507.2</v>
      </c>
      <c r="E68">
        <v>8.8800000000000008</v>
      </c>
      <c r="F68" s="8">
        <v>8.85</v>
      </c>
    </row>
    <row r="69" spans="1:7" x14ac:dyDescent="0.25">
      <c r="A69" t="s">
        <v>35</v>
      </c>
      <c r="B69">
        <v>260.8</v>
      </c>
      <c r="C69" s="8">
        <v>362.6</v>
      </c>
      <c r="E69">
        <v>9.32</v>
      </c>
      <c r="F69" s="8">
        <v>9.44</v>
      </c>
    </row>
    <row r="70" spans="1:7" x14ac:dyDescent="0.25">
      <c r="A70" t="s">
        <v>36</v>
      </c>
      <c r="B70">
        <v>1095</v>
      </c>
      <c r="C70" s="8">
        <v>1310</v>
      </c>
      <c r="E70">
        <v>8.61</v>
      </c>
      <c r="F70" s="8">
        <v>8.85</v>
      </c>
    </row>
    <row r="71" spans="1:7" x14ac:dyDescent="0.25">
      <c r="A71" t="s">
        <v>37</v>
      </c>
      <c r="B71">
        <v>2850</v>
      </c>
      <c r="C71" s="8">
        <v>2830</v>
      </c>
      <c r="E71">
        <v>8.42</v>
      </c>
      <c r="F71" s="8">
        <v>8.6</v>
      </c>
    </row>
    <row r="72" spans="1:7" x14ac:dyDescent="0.25">
      <c r="A72" s="5" t="s">
        <v>117</v>
      </c>
      <c r="C72" s="5">
        <v>376.3</v>
      </c>
      <c r="D72" s="5">
        <v>396.1</v>
      </c>
      <c r="F72" s="6">
        <v>7.91</v>
      </c>
      <c r="G72" s="6">
        <v>7.96</v>
      </c>
    </row>
    <row r="73" spans="1:7" x14ac:dyDescent="0.25">
      <c r="A73" s="5" t="s">
        <v>118</v>
      </c>
      <c r="C73" s="5">
        <v>435.8</v>
      </c>
      <c r="D73" s="5">
        <v>446.6</v>
      </c>
      <c r="F73" s="6">
        <v>8.26</v>
      </c>
      <c r="G73" s="6">
        <v>8.41</v>
      </c>
    </row>
    <row r="74" spans="1:7" x14ac:dyDescent="0.25">
      <c r="A74" s="5" t="s">
        <v>119</v>
      </c>
      <c r="C74" s="5">
        <v>484.5</v>
      </c>
      <c r="F74" s="6">
        <v>8.49</v>
      </c>
    </row>
    <row r="75" spans="1:7" x14ac:dyDescent="0.25">
      <c r="A75" s="5" t="s">
        <v>120</v>
      </c>
      <c r="C75" s="5">
        <v>613.5</v>
      </c>
      <c r="D75" s="5">
        <v>528.9</v>
      </c>
      <c r="F75" s="6">
        <v>7.84</v>
      </c>
      <c r="G75" s="6">
        <v>8.18</v>
      </c>
    </row>
    <row r="76" spans="1:7" x14ac:dyDescent="0.25">
      <c r="A76" s="5" t="s">
        <v>121</v>
      </c>
      <c r="C76" s="5">
        <v>2830</v>
      </c>
      <c r="D76" s="5">
        <v>3180</v>
      </c>
      <c r="F76" s="6">
        <v>7.92</v>
      </c>
      <c r="G76" s="6">
        <v>8.2899999999999991</v>
      </c>
    </row>
    <row r="77" spans="1:7" x14ac:dyDescent="0.25">
      <c r="A77" t="s">
        <v>38</v>
      </c>
      <c r="B77">
        <v>453.1</v>
      </c>
      <c r="C77" s="10">
        <v>2700</v>
      </c>
      <c r="E77">
        <v>9.0500000000000007</v>
      </c>
    </row>
    <row r="78" spans="1:7" x14ac:dyDescent="0.25">
      <c r="A78" t="s">
        <v>39</v>
      </c>
      <c r="B78">
        <v>535.6</v>
      </c>
      <c r="C78" s="10">
        <v>2630</v>
      </c>
      <c r="D78" s="8">
        <v>769.3</v>
      </c>
      <c r="E78">
        <v>9.02</v>
      </c>
      <c r="G78" s="8">
        <v>8.92</v>
      </c>
    </row>
    <row r="79" spans="1:7" x14ac:dyDescent="0.25">
      <c r="A79" t="s">
        <v>40</v>
      </c>
      <c r="B79">
        <v>437.7</v>
      </c>
      <c r="C79" s="9">
        <v>600.70000000000005</v>
      </c>
      <c r="D79" s="8">
        <v>618.4</v>
      </c>
      <c r="E79">
        <v>9.4499999999999993</v>
      </c>
      <c r="G79" s="8">
        <v>9.35</v>
      </c>
    </row>
    <row r="80" spans="1:7" x14ac:dyDescent="0.25">
      <c r="A80" t="s">
        <v>41</v>
      </c>
      <c r="B80">
        <v>435.8</v>
      </c>
      <c r="C80" s="9">
        <v>541.29999999999995</v>
      </c>
      <c r="D80" s="8">
        <v>547.1</v>
      </c>
      <c r="E80">
        <v>9.36</v>
      </c>
      <c r="G80" s="8">
        <v>9.2200000000000006</v>
      </c>
    </row>
    <row r="81" spans="1:7" x14ac:dyDescent="0.25">
      <c r="A81" t="s">
        <v>42</v>
      </c>
      <c r="B81">
        <v>2270</v>
      </c>
      <c r="C81" s="9">
        <v>1753</v>
      </c>
      <c r="D81" s="8">
        <v>2350</v>
      </c>
      <c r="E81">
        <v>8.4</v>
      </c>
      <c r="G81" s="8">
        <v>8.6</v>
      </c>
    </row>
    <row r="82" spans="1:7" x14ac:dyDescent="0.25">
      <c r="A82" t="s">
        <v>43</v>
      </c>
      <c r="B82">
        <v>4210</v>
      </c>
      <c r="C82" s="9">
        <v>1219</v>
      </c>
      <c r="D82" s="8">
        <v>4020</v>
      </c>
      <c r="E82">
        <v>8.0299999999999994</v>
      </c>
      <c r="G82" s="8">
        <v>8.5500000000000007</v>
      </c>
    </row>
    <row r="83" spans="1:7" x14ac:dyDescent="0.25">
      <c r="A83" s="5" t="s">
        <v>100</v>
      </c>
      <c r="C83" s="5">
        <v>1154</v>
      </c>
      <c r="G83" s="8">
        <v>9.17</v>
      </c>
    </row>
    <row r="84" spans="1:7" x14ac:dyDescent="0.25">
      <c r="A84" s="5" t="s">
        <v>101</v>
      </c>
      <c r="C84" s="5">
        <v>973.5</v>
      </c>
      <c r="G84" s="8">
        <v>9.18</v>
      </c>
    </row>
    <row r="85" spans="1:7" x14ac:dyDescent="0.25">
      <c r="A85" s="5" t="s">
        <v>102</v>
      </c>
      <c r="C85" s="5">
        <v>699.7</v>
      </c>
      <c r="G85" s="8">
        <v>9.44</v>
      </c>
    </row>
    <row r="86" spans="1:7" x14ac:dyDescent="0.25">
      <c r="A86" s="5" t="s">
        <v>103</v>
      </c>
      <c r="C86" s="5">
        <v>456.7</v>
      </c>
      <c r="G86" s="8">
        <v>9.81</v>
      </c>
    </row>
    <row r="87" spans="1:7" x14ac:dyDescent="0.25">
      <c r="A87" s="5" t="s">
        <v>104</v>
      </c>
      <c r="C87" s="5">
        <v>3430</v>
      </c>
      <c r="G87" s="8">
        <v>8.65</v>
      </c>
    </row>
    <row r="88" spans="1:7" x14ac:dyDescent="0.25">
      <c r="A88" t="s">
        <v>44</v>
      </c>
      <c r="B88">
        <v>487.6</v>
      </c>
      <c r="E88">
        <v>8.92</v>
      </c>
    </row>
    <row r="89" spans="1:7" x14ac:dyDescent="0.25">
      <c r="A89" t="s">
        <v>133</v>
      </c>
    </row>
    <row r="90" spans="1:7" x14ac:dyDescent="0.25">
      <c r="A90" t="s">
        <v>45</v>
      </c>
      <c r="B90">
        <v>680.2</v>
      </c>
      <c r="E90">
        <v>8.31</v>
      </c>
    </row>
    <row r="91" spans="1:7" x14ac:dyDescent="0.25">
      <c r="A91" t="s">
        <v>46</v>
      </c>
      <c r="B91">
        <v>1079</v>
      </c>
      <c r="E91">
        <v>8.0500000000000007</v>
      </c>
    </row>
    <row r="92" spans="1:7" x14ac:dyDescent="0.25">
      <c r="A92" t="s">
        <v>47</v>
      </c>
      <c r="B92">
        <v>2090</v>
      </c>
      <c r="E92">
        <v>7.73</v>
      </c>
    </row>
    <row r="93" spans="1:7" x14ac:dyDescent="0.25">
      <c r="A93" t="s">
        <v>134</v>
      </c>
    </row>
    <row r="94" spans="1:7" x14ac:dyDescent="0.25">
      <c r="A94" t="s">
        <v>135</v>
      </c>
    </row>
    <row r="95" spans="1:7" x14ac:dyDescent="0.25">
      <c r="A95" t="s">
        <v>136</v>
      </c>
    </row>
    <row r="96" spans="1:7" x14ac:dyDescent="0.25">
      <c r="A96" t="s">
        <v>137</v>
      </c>
    </row>
    <row r="97" spans="1:5" x14ac:dyDescent="0.25">
      <c r="A97" t="s">
        <v>138</v>
      </c>
    </row>
    <row r="98" spans="1:5" x14ac:dyDescent="0.25">
      <c r="A98" t="s">
        <v>139</v>
      </c>
    </row>
    <row r="99" spans="1:5" x14ac:dyDescent="0.25">
      <c r="A99" t="s">
        <v>48</v>
      </c>
      <c r="B99">
        <v>350.9</v>
      </c>
      <c r="E99">
        <v>9.08</v>
      </c>
    </row>
    <row r="100" spans="1:5" x14ac:dyDescent="0.25">
      <c r="A100" t="s">
        <v>49</v>
      </c>
      <c r="B100">
        <v>671.4</v>
      </c>
      <c r="E100">
        <v>8.85</v>
      </c>
    </row>
    <row r="101" spans="1:5" x14ac:dyDescent="0.25">
      <c r="A101" t="s">
        <v>50</v>
      </c>
      <c r="B101">
        <v>1278</v>
      </c>
      <c r="E101">
        <v>8.26</v>
      </c>
    </row>
    <row r="102" spans="1:5" x14ac:dyDescent="0.25">
      <c r="A102" t="s">
        <v>51</v>
      </c>
      <c r="B102">
        <v>1778</v>
      </c>
      <c r="E102">
        <v>7.89</v>
      </c>
    </row>
    <row r="103" spans="1:5" x14ac:dyDescent="0.25">
      <c r="A103" t="s">
        <v>52</v>
      </c>
      <c r="B103">
        <v>1610</v>
      </c>
      <c r="E103">
        <v>7.93</v>
      </c>
    </row>
    <row r="104" spans="1:5" x14ac:dyDescent="0.25">
      <c r="A104" t="s">
        <v>140</v>
      </c>
    </row>
    <row r="105" spans="1:5" x14ac:dyDescent="0.25">
      <c r="A105" t="s">
        <v>141</v>
      </c>
    </row>
    <row r="106" spans="1:5" x14ac:dyDescent="0.25">
      <c r="A106" t="s">
        <v>142</v>
      </c>
    </row>
    <row r="107" spans="1:5" x14ac:dyDescent="0.25">
      <c r="A107" t="s">
        <v>143</v>
      </c>
    </row>
    <row r="108" spans="1:5" x14ac:dyDescent="0.25">
      <c r="A108" t="s">
        <v>144</v>
      </c>
    </row>
    <row r="109" spans="1:5" x14ac:dyDescent="0.25">
      <c r="A109" t="s">
        <v>145</v>
      </c>
    </row>
    <row r="110" spans="1:5" x14ac:dyDescent="0.25">
      <c r="A110" t="s">
        <v>146</v>
      </c>
    </row>
    <row r="111" spans="1:5" x14ac:dyDescent="0.25">
      <c r="A111" t="s">
        <v>53</v>
      </c>
      <c r="B111">
        <v>429.8</v>
      </c>
      <c r="E111">
        <v>8.82</v>
      </c>
    </row>
    <row r="112" spans="1:5" x14ac:dyDescent="0.25">
      <c r="A112" t="s">
        <v>147</v>
      </c>
    </row>
    <row r="113" spans="1:5" x14ac:dyDescent="0.25">
      <c r="A113" t="s">
        <v>148</v>
      </c>
    </row>
    <row r="114" spans="1:5" x14ac:dyDescent="0.25">
      <c r="A114" t="s">
        <v>54</v>
      </c>
      <c r="B114">
        <v>1425</v>
      </c>
      <c r="E114">
        <v>8.27</v>
      </c>
    </row>
    <row r="115" spans="1:5" x14ac:dyDescent="0.25">
      <c r="A115" t="s">
        <v>184</v>
      </c>
    </row>
    <row r="116" spans="1:5" x14ac:dyDescent="0.25">
      <c r="A116" t="s">
        <v>55</v>
      </c>
      <c r="B116">
        <v>1662</v>
      </c>
      <c r="E116">
        <v>7.96</v>
      </c>
    </row>
    <row r="117" spans="1:5" x14ac:dyDescent="0.25">
      <c r="A117" t="s">
        <v>149</v>
      </c>
    </row>
    <row r="118" spans="1:5" x14ac:dyDescent="0.25">
      <c r="A118" t="s">
        <v>150</v>
      </c>
    </row>
    <row r="119" spans="1:5" x14ac:dyDescent="0.25">
      <c r="A119" t="s">
        <v>151</v>
      </c>
    </row>
    <row r="120" spans="1:5" x14ac:dyDescent="0.25">
      <c r="A120" t="s">
        <v>152</v>
      </c>
    </row>
    <row r="121" spans="1:5" x14ac:dyDescent="0.25">
      <c r="A121" t="s">
        <v>153</v>
      </c>
    </row>
    <row r="122" spans="1:5" x14ac:dyDescent="0.25">
      <c r="A122" t="s">
        <v>154</v>
      </c>
    </row>
    <row r="123" spans="1:5" x14ac:dyDescent="0.25">
      <c r="A123" t="s">
        <v>155</v>
      </c>
    </row>
    <row r="124" spans="1:5" x14ac:dyDescent="0.25">
      <c r="A124" t="s">
        <v>156</v>
      </c>
    </row>
    <row r="125" spans="1:5" x14ac:dyDescent="0.25">
      <c r="A125" t="s">
        <v>157</v>
      </c>
    </row>
    <row r="126" spans="1:5" x14ac:dyDescent="0.25">
      <c r="A126" t="s">
        <v>56</v>
      </c>
      <c r="B126">
        <v>1111</v>
      </c>
      <c r="E126">
        <v>8.1199999999999992</v>
      </c>
    </row>
    <row r="127" spans="1:5" x14ac:dyDescent="0.25">
      <c r="A127" t="s">
        <v>158</v>
      </c>
    </row>
    <row r="128" spans="1:5" x14ac:dyDescent="0.25">
      <c r="A128" t="s">
        <v>159</v>
      </c>
    </row>
    <row r="129" spans="1:7" x14ac:dyDescent="0.25">
      <c r="A129" t="s">
        <v>160</v>
      </c>
    </row>
    <row r="130" spans="1:7" x14ac:dyDescent="0.25">
      <c r="A130" t="s">
        <v>161</v>
      </c>
    </row>
    <row r="131" spans="1:7" x14ac:dyDescent="0.25">
      <c r="A131" t="s">
        <v>162</v>
      </c>
    </row>
    <row r="132" spans="1:7" x14ac:dyDescent="0.25">
      <c r="A132" t="s">
        <v>163</v>
      </c>
    </row>
    <row r="133" spans="1:7" x14ac:dyDescent="0.25">
      <c r="A133" t="s">
        <v>164</v>
      </c>
    </row>
    <row r="134" spans="1:7" x14ac:dyDescent="0.25">
      <c r="A134" t="s">
        <v>165</v>
      </c>
    </row>
    <row r="135" spans="1:7" x14ac:dyDescent="0.25">
      <c r="A135" t="s">
        <v>57</v>
      </c>
      <c r="B135">
        <v>363.2</v>
      </c>
      <c r="E135">
        <v>9.0500000000000007</v>
      </c>
    </row>
    <row r="136" spans="1:7" x14ac:dyDescent="0.25">
      <c r="A136" t="s">
        <v>58</v>
      </c>
      <c r="B136">
        <v>684.5</v>
      </c>
      <c r="E136">
        <v>8.4</v>
      </c>
    </row>
    <row r="137" spans="1:7" x14ac:dyDescent="0.25">
      <c r="A137" t="s">
        <v>59</v>
      </c>
      <c r="B137">
        <v>338</v>
      </c>
      <c r="E137">
        <v>8.31</v>
      </c>
    </row>
    <row r="138" spans="1:7" x14ac:dyDescent="0.25">
      <c r="A138" t="s">
        <v>60</v>
      </c>
      <c r="B138">
        <v>651.20000000000005</v>
      </c>
      <c r="E138">
        <v>7.8</v>
      </c>
    </row>
    <row r="139" spans="1:7" x14ac:dyDescent="0.25">
      <c r="A139" t="s">
        <v>61</v>
      </c>
      <c r="B139">
        <v>1336</v>
      </c>
      <c r="E139">
        <v>8.1</v>
      </c>
    </row>
    <row r="140" spans="1:7" x14ac:dyDescent="0.25">
      <c r="A140" t="s">
        <v>166</v>
      </c>
    </row>
    <row r="141" spans="1:7" x14ac:dyDescent="0.25">
      <c r="A141" t="s">
        <v>167</v>
      </c>
    </row>
    <row r="142" spans="1:7" x14ac:dyDescent="0.25">
      <c r="A142" t="s">
        <v>168</v>
      </c>
    </row>
    <row r="143" spans="1:7" x14ac:dyDescent="0.25">
      <c r="A143" s="5" t="s">
        <v>122</v>
      </c>
      <c r="C143" s="5">
        <v>1876</v>
      </c>
      <c r="D143" s="5">
        <v>1913</v>
      </c>
      <c r="F143" s="6">
        <v>7.78</v>
      </c>
      <c r="G143" s="6">
        <v>8.26</v>
      </c>
    </row>
    <row r="144" spans="1:7" x14ac:dyDescent="0.25">
      <c r="A144" t="s">
        <v>169</v>
      </c>
    </row>
    <row r="145" spans="1:7" x14ac:dyDescent="0.25">
      <c r="A145" t="s">
        <v>62</v>
      </c>
      <c r="B145">
        <v>381.2</v>
      </c>
      <c r="E145">
        <v>9.09</v>
      </c>
    </row>
    <row r="146" spans="1:7" x14ac:dyDescent="0.25">
      <c r="A146" t="s">
        <v>63</v>
      </c>
      <c r="B146">
        <v>624</v>
      </c>
      <c r="E146">
        <v>9</v>
      </c>
    </row>
    <row r="147" spans="1:7" x14ac:dyDescent="0.25">
      <c r="A147" t="s">
        <v>64</v>
      </c>
      <c r="B147">
        <v>1250</v>
      </c>
      <c r="E147">
        <v>8</v>
      </c>
    </row>
    <row r="148" spans="1:7" x14ac:dyDescent="0.25">
      <c r="A148" t="s">
        <v>65</v>
      </c>
      <c r="B148">
        <v>1090</v>
      </c>
      <c r="E148">
        <v>8.16</v>
      </c>
    </row>
    <row r="149" spans="1:7" x14ac:dyDescent="0.25">
      <c r="A149" t="s">
        <v>66</v>
      </c>
      <c r="B149">
        <v>1129</v>
      </c>
      <c r="E149">
        <v>7.96</v>
      </c>
    </row>
    <row r="150" spans="1:7" x14ac:dyDescent="0.25">
      <c r="A150" t="s">
        <v>67</v>
      </c>
      <c r="B150">
        <v>1326</v>
      </c>
      <c r="E150">
        <v>8.2899999999999991</v>
      </c>
    </row>
    <row r="151" spans="1:7" x14ac:dyDescent="0.25">
      <c r="A151" t="s">
        <v>170</v>
      </c>
    </row>
    <row r="152" spans="1:7" x14ac:dyDescent="0.25">
      <c r="A152" t="s">
        <v>171</v>
      </c>
    </row>
    <row r="153" spans="1:7" x14ac:dyDescent="0.25">
      <c r="A153" s="5" t="s">
        <v>123</v>
      </c>
      <c r="C153" s="5">
        <v>1112</v>
      </c>
      <c r="D153" s="5"/>
      <c r="F153" s="6">
        <v>7.83</v>
      </c>
    </row>
    <row r="154" spans="1:7" x14ac:dyDescent="0.25">
      <c r="A154" t="s">
        <v>172</v>
      </c>
    </row>
    <row r="155" spans="1:7" x14ac:dyDescent="0.25">
      <c r="A155" t="s">
        <v>173</v>
      </c>
    </row>
    <row r="156" spans="1:7" x14ac:dyDescent="0.25">
      <c r="A156" s="5" t="s">
        <v>124</v>
      </c>
      <c r="C156" s="5">
        <v>1312</v>
      </c>
      <c r="D156" s="5">
        <v>1635</v>
      </c>
      <c r="F156" s="6">
        <v>7.79</v>
      </c>
      <c r="G156" s="6">
        <v>7.88</v>
      </c>
    </row>
    <row r="157" spans="1:7" x14ac:dyDescent="0.25">
      <c r="A157" t="s">
        <v>68</v>
      </c>
      <c r="B157">
        <v>265.60000000000002</v>
      </c>
      <c r="E157">
        <v>8.7799999999999994</v>
      </c>
    </row>
    <row r="158" spans="1:7" x14ac:dyDescent="0.25">
      <c r="A158" t="s">
        <v>69</v>
      </c>
      <c r="B158">
        <v>408.6</v>
      </c>
      <c r="E158">
        <v>9.15</v>
      </c>
    </row>
    <row r="159" spans="1:7" x14ac:dyDescent="0.25">
      <c r="A159" t="s">
        <v>70</v>
      </c>
      <c r="B159">
        <v>446.8</v>
      </c>
      <c r="E159">
        <v>9.1</v>
      </c>
    </row>
    <row r="160" spans="1:7" x14ac:dyDescent="0.25">
      <c r="A160" t="s">
        <v>71</v>
      </c>
      <c r="B160">
        <v>1187</v>
      </c>
      <c r="E160">
        <v>8.07</v>
      </c>
    </row>
    <row r="161" spans="1:7" x14ac:dyDescent="0.25">
      <c r="A161" t="s">
        <v>72</v>
      </c>
      <c r="B161">
        <v>930.6</v>
      </c>
      <c r="E161">
        <v>7.91</v>
      </c>
    </row>
    <row r="162" spans="1:7" x14ac:dyDescent="0.25">
      <c r="A162" t="s">
        <v>73</v>
      </c>
      <c r="B162">
        <v>1243</v>
      </c>
      <c r="E162">
        <v>8.06</v>
      </c>
    </row>
    <row r="163" spans="1:7" x14ac:dyDescent="0.25">
      <c r="A163" s="5" t="s">
        <v>125</v>
      </c>
      <c r="C163" s="5">
        <v>345.9</v>
      </c>
      <c r="F163" s="6">
        <v>8.2100000000000009</v>
      </c>
    </row>
    <row r="164" spans="1:7" x14ac:dyDescent="0.25">
      <c r="A164" t="s">
        <v>174</v>
      </c>
    </row>
    <row r="165" spans="1:7" x14ac:dyDescent="0.25">
      <c r="A165" t="s">
        <v>175</v>
      </c>
    </row>
    <row r="166" spans="1:7" x14ac:dyDescent="0.25">
      <c r="A166" t="s">
        <v>176</v>
      </c>
    </row>
    <row r="167" spans="1:7" x14ac:dyDescent="0.25">
      <c r="A167" t="s">
        <v>177</v>
      </c>
    </row>
    <row r="168" spans="1:7" x14ac:dyDescent="0.25">
      <c r="A168" s="5" t="s">
        <v>126</v>
      </c>
      <c r="C168" s="5">
        <v>2020</v>
      </c>
      <c r="D168">
        <v>2030</v>
      </c>
      <c r="F168" s="6">
        <v>8.01</v>
      </c>
      <c r="G168" s="6">
        <v>8.02</v>
      </c>
    </row>
    <row r="169" spans="1:7" x14ac:dyDescent="0.25">
      <c r="A169" t="s">
        <v>178</v>
      </c>
    </row>
    <row r="170" spans="1:7" x14ac:dyDescent="0.25">
      <c r="A170" t="s">
        <v>74</v>
      </c>
      <c r="B170">
        <v>275.10000000000002</v>
      </c>
      <c r="E170" s="2">
        <v>9.6300000000000008</v>
      </c>
    </row>
    <row r="171" spans="1:7" x14ac:dyDescent="0.25">
      <c r="A171" t="s">
        <v>75</v>
      </c>
      <c r="B171">
        <v>535.9</v>
      </c>
      <c r="E171" s="2">
        <v>9.1199999999999992</v>
      </c>
    </row>
    <row r="172" spans="1:7" x14ac:dyDescent="0.25">
      <c r="A172" t="s">
        <v>76</v>
      </c>
      <c r="B172">
        <v>524.5</v>
      </c>
      <c r="E172" s="2">
        <v>8.56</v>
      </c>
    </row>
    <row r="173" spans="1:7" x14ac:dyDescent="0.25">
      <c r="A173" t="s">
        <v>77</v>
      </c>
      <c r="B173">
        <v>673.8</v>
      </c>
      <c r="E173" s="2">
        <v>8.51</v>
      </c>
    </row>
    <row r="174" spans="1:7" x14ac:dyDescent="0.25">
      <c r="A174" t="s">
        <v>78</v>
      </c>
      <c r="B174">
        <v>412.7</v>
      </c>
      <c r="E174" s="2">
        <v>8.91</v>
      </c>
    </row>
    <row r="175" spans="1:7" x14ac:dyDescent="0.25">
      <c r="A175" t="s">
        <v>179</v>
      </c>
    </row>
    <row r="176" spans="1:7" x14ac:dyDescent="0.25">
      <c r="A176" t="s">
        <v>180</v>
      </c>
    </row>
    <row r="177" spans="1:1" x14ac:dyDescent="0.25">
      <c r="A177" t="s">
        <v>181</v>
      </c>
    </row>
    <row r="178" spans="1:1" x14ac:dyDescent="0.25">
      <c r="A178" t="s">
        <v>182</v>
      </c>
    </row>
    <row r="179" spans="1:1" x14ac:dyDescent="0.25">
      <c r="A179" t="s">
        <v>183</v>
      </c>
    </row>
  </sheetData>
  <autoFilter ref="A1:G179"/>
  <sortState ref="A2:G180">
    <sortCondition ref="A2:A180"/>
  </sortState>
  <pageMargins left="0.7" right="0.7" top="0.75" bottom="0.75" header="0.3" footer="0.3"/>
  <pageSetup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Best_Data</vt:lpstr>
      <vt:lpstr>Oct2019_Data</vt:lpstr>
      <vt:lpstr>Raw_Data</vt:lpstr>
      <vt:lpstr>Best_Data!Print_Titles</vt:lpstr>
      <vt:lpstr>Raw_Data!Print_Titles</vt:lpstr>
    </vt:vector>
  </TitlesOfParts>
  <Company>CCBER - UCSB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ccber-admin</cp:lastModifiedBy>
  <cp:lastPrinted>2019-06-18T15:23:29Z</cp:lastPrinted>
  <dcterms:created xsi:type="dcterms:W3CDTF">2019-02-05T22:38:15Z</dcterms:created>
  <dcterms:modified xsi:type="dcterms:W3CDTF">2021-06-30T21:07:28Z</dcterms:modified>
</cp:coreProperties>
</file>