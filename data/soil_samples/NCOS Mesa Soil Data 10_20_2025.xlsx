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 1 East Slope, Burned " sheetId="1" r:id="rId4"/>
    <sheet state="visible" name="Site 2 Stipa East, Unburned " sheetId="2" r:id="rId5"/>
    <sheet state="visible" name="Site 3 Stipa Mesa, Burned " sheetId="3" r:id="rId6"/>
    <sheet state="visible" name="Site 4 Stipa, Unburned" sheetId="4" r:id="rId7"/>
  </sheets>
  <definedNames/>
  <calcPr/>
</workbook>
</file>

<file path=xl/sharedStrings.xml><?xml version="1.0" encoding="utf-8"?>
<sst xmlns="http://schemas.openxmlformats.org/spreadsheetml/2006/main" count="222" uniqueCount="81">
  <si>
    <t>Depth</t>
  </si>
  <si>
    <t>Soil Type (tenative)</t>
  </si>
  <si>
    <t xml:space="preserve">Tin Name </t>
  </si>
  <si>
    <t>Wet Weight (g)</t>
  </si>
  <si>
    <t>Dry Weight (g)</t>
  </si>
  <si>
    <t>Tin Weight (g)</t>
  </si>
  <si>
    <t>Dry-Tin wt (g)</t>
  </si>
  <si>
    <t>% soil moisture</t>
  </si>
  <si>
    <t>eC_(uS/cm)</t>
  </si>
  <si>
    <t>Soil Moisture %</t>
  </si>
  <si>
    <t>Burned East (1)</t>
  </si>
  <si>
    <t>Unburned E (2)</t>
  </si>
  <si>
    <t>Burned Mesa (3)</t>
  </si>
  <si>
    <t>Unburned Mesa (4)</t>
  </si>
  <si>
    <t xml:space="preserve"> EC uS/cm</t>
  </si>
  <si>
    <t>depth</t>
  </si>
  <si>
    <t>Soil Texture</t>
  </si>
  <si>
    <t>0-15</t>
  </si>
  <si>
    <t>Sandy Clay Loam</t>
  </si>
  <si>
    <t>N2, 0-15</t>
  </si>
  <si>
    <t>Sandy Clay</t>
  </si>
  <si>
    <t>Silt Loam</t>
  </si>
  <si>
    <t>Clay Loam</t>
  </si>
  <si>
    <t>15-30</t>
  </si>
  <si>
    <t>Loam</t>
  </si>
  <si>
    <t>C3, 15-30</t>
  </si>
  <si>
    <t>Silt Clay Loam</t>
  </si>
  <si>
    <t>30-45</t>
  </si>
  <si>
    <t>Loamy Sand</t>
  </si>
  <si>
    <t>N4, 30-45</t>
  </si>
  <si>
    <t>Sandy Loam</t>
  </si>
  <si>
    <t>45-60</t>
  </si>
  <si>
    <t>Silty Clay</t>
  </si>
  <si>
    <t>N8, 45-60</t>
  </si>
  <si>
    <t>200 outlier</t>
  </si>
  <si>
    <t xml:space="preserve">Loam </t>
  </si>
  <si>
    <t>Silty Clay Loam</t>
  </si>
  <si>
    <t>60-75</t>
  </si>
  <si>
    <r>
      <t xml:space="preserve">N2, 60-75, </t>
    </r>
    <r>
      <rPr>
        <rFont val="Arial"/>
        <b/>
        <color theme="1"/>
      </rPr>
      <t>G</t>
    </r>
  </si>
  <si>
    <t xml:space="preserve">Sandy Clay </t>
  </si>
  <si>
    <t>75-90</t>
  </si>
  <si>
    <r>
      <t xml:space="preserve">N4, 75-90, </t>
    </r>
    <r>
      <rPr>
        <rFont val="Arial"/>
        <b/>
        <color theme="1"/>
      </rPr>
      <t>G</t>
    </r>
  </si>
  <si>
    <t>Clay</t>
  </si>
  <si>
    <t>Quadrats</t>
  </si>
  <si>
    <t>1(%)</t>
  </si>
  <si>
    <t>2(%)</t>
  </si>
  <si>
    <t>3(%)</t>
  </si>
  <si>
    <t>MEAN % cover</t>
  </si>
  <si>
    <t>Annual Grasses</t>
  </si>
  <si>
    <t xml:space="preserve">Deinandra </t>
  </si>
  <si>
    <t>Medicago/Meliotis</t>
  </si>
  <si>
    <t>Stipa Pulcha</t>
  </si>
  <si>
    <t xml:space="preserve">Annual Grass Thatch </t>
  </si>
  <si>
    <t xml:space="preserve">Bare ground </t>
  </si>
  <si>
    <t>Overall Graphs</t>
  </si>
  <si>
    <t>Observations: Burned plots generally more saline than unburned plots</t>
  </si>
  <si>
    <t>higher soil moisture in sub soils associated with lower native grass cover,</t>
  </si>
  <si>
    <t>Potentially associated with dilution of higher salts from sub soils.</t>
  </si>
  <si>
    <t>Burned Mesa (3) was cherry picked to be a site with higher native stipa</t>
  </si>
  <si>
    <t>cover and doesn't represent most of burned plot, represented more by</t>
  </si>
  <si>
    <t>Lara's data.</t>
  </si>
  <si>
    <t>C4, 0-15</t>
  </si>
  <si>
    <r>
      <t xml:space="preserve">N6, 15-30, </t>
    </r>
    <r>
      <rPr>
        <rFont val="Arial"/>
        <b/>
        <color theme="1"/>
      </rPr>
      <t>J</t>
    </r>
  </si>
  <si>
    <t>C4, 30-45</t>
  </si>
  <si>
    <t>C3, 45-60</t>
  </si>
  <si>
    <t>C4, 60-75</t>
  </si>
  <si>
    <t>C2, 75-90</t>
  </si>
  <si>
    <t xml:space="preserve">Bare Ground </t>
  </si>
  <si>
    <t>Dry - Tin wt (g)</t>
  </si>
  <si>
    <t>N4, 0-15</t>
  </si>
  <si>
    <r>
      <t xml:space="preserve">N4, 15-30, </t>
    </r>
    <r>
      <rPr>
        <rFont val="Arial"/>
        <b/>
        <color theme="1"/>
      </rPr>
      <t>U</t>
    </r>
  </si>
  <si>
    <t>C3, 30-45</t>
  </si>
  <si>
    <t>C4, 45-60</t>
  </si>
  <si>
    <r>
      <t xml:space="preserve">NP8, 60-75, </t>
    </r>
    <r>
      <rPr>
        <rFont val="Arial"/>
        <b/>
        <color theme="1"/>
      </rPr>
      <t>Q</t>
    </r>
  </si>
  <si>
    <r>
      <t xml:space="preserve">NP8, 75-90, </t>
    </r>
    <r>
      <rPr>
        <rFont val="Arial"/>
        <b/>
        <color theme="1"/>
      </rPr>
      <t>16</t>
    </r>
  </si>
  <si>
    <t>C2, 0-15</t>
  </si>
  <si>
    <t>C2, 15-30</t>
  </si>
  <si>
    <r>
      <t xml:space="preserve">C1, 30-45, </t>
    </r>
    <r>
      <rPr>
        <rFont val="Arial"/>
        <b/>
        <color theme="1"/>
      </rPr>
      <t>I</t>
    </r>
  </si>
  <si>
    <t>N6, 45-60</t>
  </si>
  <si>
    <t>C2, 60-75</t>
  </si>
  <si>
    <t xml:space="preserve">NP6, 75-90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</si>
</sst>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4" xfId="0" applyAlignment="1" applyBorder="1" applyFont="1" applyNumberFormat="1">
      <alignment readingOrder="0"/>
    </xf>
    <xf borderId="0" fillId="0" fontId="3" numFmtId="4" xfId="0" applyAlignment="1" applyFont="1" applyNumberFormat="1">
      <alignment readingOrder="0"/>
    </xf>
    <xf borderId="1" fillId="3" fontId="3" numFmtId="0" xfId="0" applyAlignment="1" applyBorder="1" applyFill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readingOrder="0" vertical="bottom"/>
    </xf>
    <xf borderId="0" fillId="2" fontId="1" numFmtId="0" xfId="0" applyAlignment="1" applyFont="1">
      <alignment readingOrder="0"/>
    </xf>
    <xf borderId="1" fillId="4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 shrinkToFit="0" wrapText="1"/>
    </xf>
    <xf borderId="1" fillId="4" fontId="3" numFmtId="0" xfId="0" applyAlignment="1" applyBorder="1" applyFont="1">
      <alignment readingOrder="0"/>
    </xf>
    <xf borderId="1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'Site 1 East Slope, Burned '!$A$22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'Site 1 East Slope, Burned '!$B$21:$E$21</c:f>
            </c:strRef>
          </c:cat>
          <c:val>
            <c:numRef>
              <c:f>'Site 1 East Slope, Burned '!$B$22:$E$22</c:f>
              <c:numCache/>
            </c:numRef>
          </c:val>
        </c:ser>
        <c:ser>
          <c:idx val="1"/>
          <c:order val="1"/>
          <c:tx>
            <c:strRef>
              <c:f>'Site 1 East Slope, Burned '!$A$23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'Site 1 East Slope, Burned '!$B$21:$E$21</c:f>
            </c:strRef>
          </c:cat>
          <c:val>
            <c:numRef>
              <c:f>'Site 1 East Slope, Burned '!$B$23:$E$23</c:f>
              <c:numCache/>
            </c:numRef>
          </c:val>
        </c:ser>
        <c:ser>
          <c:idx val="2"/>
          <c:order val="2"/>
          <c:tx>
            <c:strRef>
              <c:f>'Site 1 East Slope, Burned '!$A$24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'Site 1 East Slope, Burned '!$B$21:$E$21</c:f>
            </c:strRef>
          </c:cat>
          <c:val>
            <c:numRef>
              <c:f>'Site 1 East Slope, Burned '!$B$24:$E$24</c:f>
              <c:numCache/>
            </c:numRef>
          </c:val>
        </c:ser>
        <c:ser>
          <c:idx val="3"/>
          <c:order val="3"/>
          <c:tx>
            <c:strRef>
              <c:f>'Site 1 East Slope, Burned '!$A$25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'Site 1 East Slope, Burned '!$B$21:$E$21</c:f>
            </c:strRef>
          </c:cat>
          <c:val>
            <c:numRef>
              <c:f>'Site 1 East Slope, Burned '!$B$25:$E$25</c:f>
              <c:numCache/>
            </c:numRef>
          </c:val>
        </c:ser>
        <c:ser>
          <c:idx val="4"/>
          <c:order val="4"/>
          <c:tx>
            <c:strRef>
              <c:f>'Site 1 East Slope, Burned '!$A$26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'Site 1 East Slope, Burned '!$B$21:$E$21</c:f>
            </c:strRef>
          </c:cat>
          <c:val>
            <c:numRef>
              <c:f>'Site 1 East Slope, Burned '!$B$26:$E$26</c:f>
              <c:numCache/>
            </c:numRef>
          </c:val>
        </c:ser>
        <c:ser>
          <c:idx val="5"/>
          <c:order val="5"/>
          <c:tx>
            <c:strRef>
              <c:f>'Site 1 East Slope, Burned '!$A$27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'Site 1 East Slope, Burned '!$B$21:$E$21</c:f>
            </c:strRef>
          </c:cat>
          <c:val>
            <c:numRef>
              <c:f>'Site 1 East Slope, Burned '!$B$27:$E$27</c:f>
              <c:numCache/>
            </c:numRef>
          </c:val>
        </c:ser>
        <c:overlap val="100"/>
        <c:axId val="1461428827"/>
        <c:axId val="1904986043"/>
      </c:barChart>
      <c:catAx>
        <c:axId val="1461428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Overall Graphs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986043"/>
      </c:catAx>
      <c:valAx>
        <c:axId val="1904986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4288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soil moisture by depth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'Site 1 East Slope, Burned '!$L$2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'Site 1 East Slope, Burned '!$M$1:$P$1</c:f>
            </c:strRef>
          </c:cat>
          <c:val>
            <c:numRef>
              <c:f>'Site 1 East Slope, Burned '!$M$2:$P$2</c:f>
              <c:numCache/>
            </c:numRef>
          </c:val>
        </c:ser>
        <c:ser>
          <c:idx val="1"/>
          <c:order val="1"/>
          <c:tx>
            <c:strRef>
              <c:f>'Site 1 East Slope, Burned '!$L$3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'Site 1 East Slope, Burned '!$M$1:$P$1</c:f>
            </c:strRef>
          </c:cat>
          <c:val>
            <c:numRef>
              <c:f>'Site 1 East Slope, Burned '!$M$3:$P$3</c:f>
              <c:numCache/>
            </c:numRef>
          </c:val>
        </c:ser>
        <c:ser>
          <c:idx val="2"/>
          <c:order val="2"/>
          <c:tx>
            <c:strRef>
              <c:f>'Site 1 East Slope, Burned '!$L$4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'Site 1 East Slope, Burned '!$M$1:$P$1</c:f>
            </c:strRef>
          </c:cat>
          <c:val>
            <c:numRef>
              <c:f>'Site 1 East Slope, Burned '!$M$4:$P$4</c:f>
              <c:numCache/>
            </c:numRef>
          </c:val>
        </c:ser>
        <c:ser>
          <c:idx val="3"/>
          <c:order val="3"/>
          <c:tx>
            <c:strRef>
              <c:f>'Site 1 East Slope, Burned '!$L$5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'Site 1 East Slope, Burned '!$M$1:$P$1</c:f>
            </c:strRef>
          </c:cat>
          <c:val>
            <c:numRef>
              <c:f>'Site 1 East Slope, Burned '!$M$5:$P$5</c:f>
              <c:numCache/>
            </c:numRef>
          </c:val>
        </c:ser>
        <c:ser>
          <c:idx val="4"/>
          <c:order val="4"/>
          <c:tx>
            <c:strRef>
              <c:f>'Site 1 East Slope, Burned '!$L$6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'Site 1 East Slope, Burned '!$M$1:$P$1</c:f>
            </c:strRef>
          </c:cat>
          <c:val>
            <c:numRef>
              <c:f>'Site 1 East Slope, Burned '!$M$6:$P$6</c:f>
              <c:numCache/>
            </c:numRef>
          </c:val>
        </c:ser>
        <c:ser>
          <c:idx val="5"/>
          <c:order val="5"/>
          <c:tx>
            <c:strRef>
              <c:f>'Site 1 East Slope, Burned '!$L$7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'Site 1 East Slope, Burned '!$M$1:$P$1</c:f>
            </c:strRef>
          </c:cat>
          <c:val>
            <c:numRef>
              <c:f>'Site 1 East Slope, Burned '!$M$7:$P$7</c:f>
              <c:numCache/>
            </c:numRef>
          </c:val>
        </c:ser>
        <c:axId val="424848335"/>
        <c:axId val="132665880"/>
      </c:barChart>
      <c:catAx>
        <c:axId val="424848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Soil Moisture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65880"/>
      </c:catAx>
      <c:valAx>
        <c:axId val="132665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848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'Site 1 East Slope, Burned '!$S$1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'Site 1 East Slope, Burned '!$R$2:$R$7</c:f>
            </c:numRef>
          </c:xVal>
          <c:yVal>
            <c:numRef>
              <c:f>'Site 1 East Slope, Burned '!$S$2:$S$7</c:f>
              <c:numCache/>
            </c:numRef>
          </c:yVal>
        </c:ser>
        <c:ser>
          <c:idx val="1"/>
          <c:order val="1"/>
          <c:tx>
            <c:strRef>
              <c:f>'Site 1 East Slope, Burned '!$T$1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'Site 1 East Slope, Burned '!$R$2:$R$7</c:f>
            </c:numRef>
          </c:xVal>
          <c:yVal>
            <c:numRef>
              <c:f>'Site 1 East Slope, Burned '!$T$2:$T$7</c:f>
              <c:numCache/>
            </c:numRef>
          </c:yVal>
        </c:ser>
        <c:ser>
          <c:idx val="2"/>
          <c:order val="2"/>
          <c:tx>
            <c:strRef>
              <c:f>'Site 1 East Slope, Burned '!$U$1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'Site 1 East Slope, Burned '!$R$2:$R$7</c:f>
            </c:numRef>
          </c:xVal>
          <c:yVal>
            <c:numRef>
              <c:f>'Site 1 East Slope, Burned '!$U$2:$U$7</c:f>
              <c:numCache/>
            </c:numRef>
          </c:yVal>
        </c:ser>
        <c:ser>
          <c:idx val="3"/>
          <c:order val="3"/>
          <c:tx>
            <c:strRef>
              <c:f>'Site 1 East Slope, Burned '!$V$1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'Site 1 East Slope, Burned '!$R$2:$R$7</c:f>
            </c:numRef>
          </c:xVal>
          <c:yVal>
            <c:numRef>
              <c:f>'Site 1 East Slope, Burned '!$V$2:$V$7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64820"/>
        <c:axId val="678967651"/>
      </c:scatterChart>
      <c:valAx>
        <c:axId val="1338648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EC uS/cm</a:t>
                </a:r>
              </a:p>
            </c:rich>
          </c:tx>
          <c:layout>
            <c:manualLayout>
              <c:xMode val="edge"/>
              <c:yMode val="edge"/>
              <c:x val="0.06692096951981666"/>
              <c:y val="0.92722960151802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8967651"/>
      </c:valAx>
      <c:valAx>
        <c:axId val="6789676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648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Burned East (1), Unburned E (2), Burned Mesa (3) and Unburned Mesa (4)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'Site 1 East Slope, Burned '!$M$1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'Site 1 East Slope, Burned '!$L$2:$L$7</c:f>
            </c:numRef>
          </c:xVal>
          <c:yVal>
            <c:numRef>
              <c:f>'Site 1 East Slope, Burned '!$M$2:$M$7</c:f>
              <c:numCache/>
            </c:numRef>
          </c:yVal>
        </c:ser>
        <c:ser>
          <c:idx val="1"/>
          <c:order val="1"/>
          <c:tx>
            <c:strRef>
              <c:f>'Site 1 East Slope, Burned '!$N$1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'Site 1 East Slope, Burned '!$L$2:$L$7</c:f>
            </c:numRef>
          </c:xVal>
          <c:yVal>
            <c:numRef>
              <c:f>'Site 1 East Slope, Burned '!$N$2:$N$7</c:f>
              <c:numCache/>
            </c:numRef>
          </c:yVal>
        </c:ser>
        <c:ser>
          <c:idx val="2"/>
          <c:order val="2"/>
          <c:tx>
            <c:strRef>
              <c:f>'Site 1 East Slope, Burned '!$O$1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'Site 1 East Slope, Burned '!$L$2:$L$7</c:f>
            </c:numRef>
          </c:xVal>
          <c:yVal>
            <c:numRef>
              <c:f>'Site 1 East Slope, Burned '!$O$2:$O$7</c:f>
              <c:numCache/>
            </c:numRef>
          </c:yVal>
        </c:ser>
        <c:ser>
          <c:idx val="3"/>
          <c:order val="3"/>
          <c:tx>
            <c:strRef>
              <c:f>'Site 1 East Slope, Burned '!$P$1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'Site 1 East Slope, Burned '!$L$2:$L$7</c:f>
            </c:numRef>
          </c:xVal>
          <c:yVal>
            <c:numRef>
              <c:f>'Site 1 East Slope, Burned '!$P$2:$P$7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598910"/>
        <c:axId val="552511356"/>
      </c:scatterChart>
      <c:valAx>
        <c:axId val="17105989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Soil Moisture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511356"/>
      </c:valAx>
      <c:valAx>
        <c:axId val="552511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598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647700</xdr:colOff>
      <xdr:row>25</xdr:row>
      <xdr:rowOff>76200</xdr:rowOff>
    </xdr:from>
    <xdr:ext cx="6505575" cy="4019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695325</xdr:colOff>
      <xdr:row>10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190500</xdr:colOff>
      <xdr:row>9</xdr:row>
      <xdr:rowOff>114300</xdr:rowOff>
    </xdr:from>
    <xdr:ext cx="7134225" cy="4410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371475</xdr:colOff>
      <xdr:row>27</xdr:row>
      <xdr:rowOff>152400</xdr:rowOff>
    </xdr:from>
    <xdr:ext cx="707707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.88"/>
    <col customWidth="1" min="17" max="17" width="7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L1" s="1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R1" s="2" t="s">
        <v>14</v>
      </c>
      <c r="S1" s="5" t="s">
        <v>10</v>
      </c>
      <c r="T1" s="5" t="s">
        <v>11</v>
      </c>
      <c r="U1" s="5" t="s">
        <v>12</v>
      </c>
      <c r="V1" s="5" t="s">
        <v>13</v>
      </c>
      <c r="W1" s="5" t="s">
        <v>15</v>
      </c>
      <c r="X1" s="2" t="s">
        <v>16</v>
      </c>
      <c r="Y1" s="5" t="s">
        <v>10</v>
      </c>
      <c r="Z1" s="5" t="s">
        <v>11</v>
      </c>
      <c r="AA1" s="5" t="s">
        <v>12</v>
      </c>
      <c r="AB1" s="5" t="s">
        <v>13</v>
      </c>
    </row>
    <row r="2">
      <c r="A2" s="1" t="s">
        <v>17</v>
      </c>
      <c r="B2" s="6" t="s">
        <v>18</v>
      </c>
      <c r="C2" s="7" t="s">
        <v>19</v>
      </c>
      <c r="D2" s="7">
        <v>106.408</v>
      </c>
      <c r="E2" s="7">
        <v>99.733</v>
      </c>
      <c r="F2" s="7">
        <v>6.536</v>
      </c>
      <c r="G2" s="8">
        <f t="shared" ref="G2:G7" si="1">E2-F2</f>
        <v>93.197</v>
      </c>
      <c r="H2" s="9">
        <f t="shared" ref="H2:H7" si="2">(((D2-F2)-(G2))/G2)*100</f>
        <v>7.162247712</v>
      </c>
      <c r="I2" s="7">
        <v>376.0</v>
      </c>
      <c r="L2" s="1" t="s">
        <v>17</v>
      </c>
      <c r="M2" s="10">
        <v>7.162247711836215</v>
      </c>
      <c r="N2" s="10">
        <v>11.1091159394266</v>
      </c>
      <c r="O2" s="10">
        <v>19.402456455468837</v>
      </c>
      <c r="P2" s="10">
        <v>13.175870694631515</v>
      </c>
      <c r="R2" s="1" t="s">
        <v>17</v>
      </c>
      <c r="S2" s="5">
        <v>376.0</v>
      </c>
      <c r="T2" s="5">
        <v>283.0</v>
      </c>
      <c r="U2" s="5">
        <v>163.5</v>
      </c>
      <c r="V2" s="5">
        <v>196.7</v>
      </c>
      <c r="W2" s="1">
        <v>0.0</v>
      </c>
      <c r="X2" s="1">
        <v>15.0</v>
      </c>
      <c r="Y2" s="6" t="s">
        <v>18</v>
      </c>
      <c r="Z2" s="6" t="s">
        <v>20</v>
      </c>
      <c r="AA2" s="6" t="s">
        <v>21</v>
      </c>
      <c r="AB2" s="6" t="s">
        <v>22</v>
      </c>
    </row>
    <row r="3">
      <c r="A3" s="1" t="s">
        <v>23</v>
      </c>
      <c r="B3" s="6" t="s">
        <v>24</v>
      </c>
      <c r="C3" s="7" t="s">
        <v>25</v>
      </c>
      <c r="D3" s="7">
        <v>106.741</v>
      </c>
      <c r="E3" s="7">
        <v>101.45</v>
      </c>
      <c r="F3" s="7">
        <v>6.5</v>
      </c>
      <c r="G3" s="8">
        <f t="shared" si="1"/>
        <v>94.95</v>
      </c>
      <c r="H3" s="9">
        <f t="shared" si="2"/>
        <v>5.57240653</v>
      </c>
      <c r="I3" s="7">
        <v>386.0</v>
      </c>
      <c r="L3" s="1" t="s">
        <v>23</v>
      </c>
      <c r="M3" s="10">
        <v>5.572406529752498</v>
      </c>
      <c r="N3" s="10">
        <v>9.066933113359903</v>
      </c>
      <c r="O3" s="10">
        <v>10.650447772016967</v>
      </c>
      <c r="P3" s="10">
        <v>12.2623070297489</v>
      </c>
      <c r="R3" s="1" t="s">
        <v>23</v>
      </c>
      <c r="S3" s="5">
        <v>386.0</v>
      </c>
      <c r="T3" s="5">
        <v>467.0</v>
      </c>
      <c r="U3" s="5">
        <v>609.0</v>
      </c>
      <c r="V3" s="5">
        <v>158.3</v>
      </c>
      <c r="W3" s="1">
        <v>15.0</v>
      </c>
      <c r="X3" s="1">
        <v>30.0</v>
      </c>
      <c r="Y3" s="6" t="s">
        <v>24</v>
      </c>
      <c r="Z3" s="6" t="s">
        <v>18</v>
      </c>
      <c r="AA3" s="6" t="s">
        <v>26</v>
      </c>
      <c r="AB3" s="6" t="s">
        <v>18</v>
      </c>
    </row>
    <row r="4">
      <c r="A4" s="1" t="s">
        <v>27</v>
      </c>
      <c r="B4" s="6" t="s">
        <v>28</v>
      </c>
      <c r="C4" s="7" t="s">
        <v>29</v>
      </c>
      <c r="D4" s="7">
        <v>117.234</v>
      </c>
      <c r="E4" s="7">
        <v>110.793</v>
      </c>
      <c r="F4" s="7">
        <v>6.54</v>
      </c>
      <c r="G4" s="8">
        <f t="shared" si="1"/>
        <v>104.253</v>
      </c>
      <c r="H4" s="9">
        <f t="shared" si="2"/>
        <v>6.178239475</v>
      </c>
      <c r="I4" s="7">
        <v>562.0</v>
      </c>
      <c r="L4" s="1" t="s">
        <v>27</v>
      </c>
      <c r="M4" s="10">
        <v>6.178239475123007</v>
      </c>
      <c r="N4" s="10">
        <v>7.448900751562845</v>
      </c>
      <c r="O4" s="10">
        <v>10.994094488188967</v>
      </c>
      <c r="P4" s="10">
        <v>7.675045462166441</v>
      </c>
      <c r="R4" s="1" t="s">
        <v>27</v>
      </c>
      <c r="S4" s="5">
        <v>562.0</v>
      </c>
      <c r="T4" s="5">
        <v>523.0</v>
      </c>
      <c r="U4" s="5">
        <v>976.0</v>
      </c>
      <c r="V4" s="5">
        <v>180.9</v>
      </c>
      <c r="W4" s="1">
        <v>30.0</v>
      </c>
      <c r="X4" s="1">
        <v>45.0</v>
      </c>
      <c r="Y4" s="6" t="s">
        <v>28</v>
      </c>
      <c r="Z4" s="6" t="s">
        <v>30</v>
      </c>
      <c r="AA4" s="6" t="s">
        <v>26</v>
      </c>
      <c r="AB4" s="6" t="s">
        <v>30</v>
      </c>
    </row>
    <row r="5">
      <c r="A5" s="1" t="s">
        <v>31</v>
      </c>
      <c r="B5" s="6" t="s">
        <v>32</v>
      </c>
      <c r="C5" s="7" t="s">
        <v>33</v>
      </c>
      <c r="D5" s="7">
        <v>116.452</v>
      </c>
      <c r="E5" s="7">
        <v>105.048</v>
      </c>
      <c r="F5" s="7">
        <v>6.501</v>
      </c>
      <c r="G5" s="8">
        <f t="shared" si="1"/>
        <v>98.547</v>
      </c>
      <c r="H5" s="9">
        <f t="shared" si="2"/>
        <v>11.57214324</v>
      </c>
      <c r="I5" s="11">
        <v>200.0</v>
      </c>
      <c r="J5" s="5" t="s">
        <v>34</v>
      </c>
      <c r="L5" s="1" t="s">
        <v>31</v>
      </c>
      <c r="M5" s="10">
        <v>11.572143241296027</v>
      </c>
      <c r="N5" s="10">
        <v>7.949353732524407</v>
      </c>
      <c r="O5" s="10">
        <v>12.472438516691078</v>
      </c>
      <c r="P5" s="10">
        <v>8.882810600534892</v>
      </c>
      <c r="R5" s="1" t="s">
        <v>31</v>
      </c>
      <c r="T5" s="5">
        <v>742.0</v>
      </c>
      <c r="U5" s="5">
        <v>1462.0</v>
      </c>
      <c r="V5" s="5">
        <v>272.0</v>
      </c>
      <c r="W5" s="1">
        <v>45.0</v>
      </c>
      <c r="X5" s="1">
        <v>60.0</v>
      </c>
      <c r="Y5" s="6" t="s">
        <v>32</v>
      </c>
      <c r="Z5" s="6" t="s">
        <v>35</v>
      </c>
      <c r="AA5" s="6" t="s">
        <v>22</v>
      </c>
      <c r="AB5" s="6" t="s">
        <v>36</v>
      </c>
    </row>
    <row r="6">
      <c r="A6" s="1" t="s">
        <v>37</v>
      </c>
      <c r="B6" s="6" t="s">
        <v>22</v>
      </c>
      <c r="C6" s="7" t="s">
        <v>38</v>
      </c>
      <c r="D6" s="7">
        <v>76.308</v>
      </c>
      <c r="E6" s="7">
        <v>66.337</v>
      </c>
      <c r="F6" s="7">
        <v>6.471</v>
      </c>
      <c r="G6" s="8">
        <f t="shared" si="1"/>
        <v>59.866</v>
      </c>
      <c r="H6" s="9">
        <f t="shared" si="2"/>
        <v>16.65553069</v>
      </c>
      <c r="I6" s="7">
        <v>1987.0</v>
      </c>
      <c r="L6" s="1" t="s">
        <v>37</v>
      </c>
      <c r="M6" s="10">
        <v>16.655530685196947</v>
      </c>
      <c r="N6" s="10">
        <v>12.754939169297344</v>
      </c>
      <c r="O6" s="10">
        <v>20.389636653708735</v>
      </c>
      <c r="P6" s="10">
        <v>8.895421964266777</v>
      </c>
      <c r="R6" s="1" t="s">
        <v>37</v>
      </c>
      <c r="S6" s="5">
        <v>1987.0</v>
      </c>
      <c r="T6" s="5">
        <v>1707.0</v>
      </c>
      <c r="U6" s="5">
        <v>2290.0</v>
      </c>
      <c r="V6" s="5">
        <v>459.0</v>
      </c>
      <c r="W6" s="1">
        <v>60.0</v>
      </c>
      <c r="X6" s="1">
        <v>75.0</v>
      </c>
      <c r="Y6" s="6" t="s">
        <v>22</v>
      </c>
      <c r="Z6" s="6" t="s">
        <v>18</v>
      </c>
      <c r="AA6" s="6" t="s">
        <v>32</v>
      </c>
      <c r="AB6" s="6" t="s">
        <v>39</v>
      </c>
    </row>
    <row r="7">
      <c r="A7" s="1" t="s">
        <v>40</v>
      </c>
      <c r="B7" s="6" t="s">
        <v>32</v>
      </c>
      <c r="C7" s="7" t="s">
        <v>41</v>
      </c>
      <c r="D7" s="7">
        <v>79.157</v>
      </c>
      <c r="E7" s="7">
        <v>65.679</v>
      </c>
      <c r="F7" s="7">
        <v>6.476</v>
      </c>
      <c r="G7" s="8">
        <f t="shared" si="1"/>
        <v>59.203</v>
      </c>
      <c r="H7" s="9">
        <f t="shared" si="2"/>
        <v>22.76573822</v>
      </c>
      <c r="I7" s="7">
        <v>1807.0</v>
      </c>
      <c r="L7" s="1" t="s">
        <v>40</v>
      </c>
      <c r="M7" s="10">
        <v>22.76573822272519</v>
      </c>
      <c r="N7" s="10">
        <v>13.625140291806966</v>
      </c>
      <c r="O7" s="10">
        <v>18.457767337350628</v>
      </c>
      <c r="P7" s="10">
        <v>16.685069502215914</v>
      </c>
      <c r="R7" s="1" t="s">
        <v>40</v>
      </c>
      <c r="S7" s="5">
        <v>1807.0</v>
      </c>
      <c r="T7" s="5">
        <v>2000.0</v>
      </c>
      <c r="U7" s="5">
        <v>2560.0</v>
      </c>
      <c r="V7" s="5">
        <v>1121.0</v>
      </c>
      <c r="W7" s="1">
        <v>75.0</v>
      </c>
      <c r="X7" s="1">
        <v>90.0</v>
      </c>
      <c r="Y7" s="6" t="s">
        <v>32</v>
      </c>
      <c r="Z7" s="6" t="s">
        <v>42</v>
      </c>
      <c r="AA7" s="6" t="s">
        <v>22</v>
      </c>
      <c r="AB7" s="6" t="s">
        <v>32</v>
      </c>
    </row>
    <row r="8">
      <c r="A8" s="12"/>
    </row>
    <row r="9">
      <c r="A9" s="12"/>
    </row>
    <row r="10">
      <c r="A10" s="12"/>
    </row>
    <row r="11">
      <c r="A11" s="13" t="s">
        <v>43</v>
      </c>
      <c r="B11" s="14" t="s">
        <v>44</v>
      </c>
      <c r="C11" s="14" t="s">
        <v>45</v>
      </c>
      <c r="D11" s="14" t="s">
        <v>46</v>
      </c>
      <c r="E11" s="15" t="s">
        <v>47</v>
      </c>
    </row>
    <row r="12">
      <c r="A12" s="13" t="s">
        <v>48</v>
      </c>
      <c r="B12" s="16">
        <v>50.0</v>
      </c>
      <c r="C12" s="16">
        <v>55.0</v>
      </c>
      <c r="D12" s="16">
        <v>45.0</v>
      </c>
      <c r="E12" s="10">
        <f t="shared" ref="E12:E16" si="3">(B12+C12+D12)/3</f>
        <v>50</v>
      </c>
    </row>
    <row r="13">
      <c r="A13" s="13" t="s">
        <v>49</v>
      </c>
      <c r="B13" s="16">
        <v>50.0</v>
      </c>
      <c r="C13" s="16">
        <v>40.0</v>
      </c>
      <c r="D13" s="16">
        <v>35.0</v>
      </c>
      <c r="E13" s="10">
        <f t="shared" si="3"/>
        <v>41.66666667</v>
      </c>
    </row>
    <row r="14">
      <c r="A14" s="13" t="s">
        <v>50</v>
      </c>
      <c r="B14" s="16">
        <v>0.0</v>
      </c>
      <c r="C14" s="16">
        <v>0.0</v>
      </c>
      <c r="D14" s="16">
        <v>0.0</v>
      </c>
      <c r="E14" s="10">
        <f t="shared" si="3"/>
        <v>0</v>
      </c>
    </row>
    <row r="15">
      <c r="A15" s="13" t="s">
        <v>51</v>
      </c>
      <c r="B15" s="16">
        <v>0.0</v>
      </c>
      <c r="C15" s="16">
        <v>0.0</v>
      </c>
      <c r="D15" s="16">
        <v>15.0</v>
      </c>
      <c r="E15" s="10">
        <f t="shared" si="3"/>
        <v>5</v>
      </c>
    </row>
    <row r="16">
      <c r="A16" s="13" t="s">
        <v>52</v>
      </c>
      <c r="B16" s="16">
        <v>0.0</v>
      </c>
      <c r="C16" s="16">
        <v>0.0</v>
      </c>
      <c r="D16" s="16">
        <v>0.0</v>
      </c>
      <c r="E16" s="10">
        <f t="shared" si="3"/>
        <v>0</v>
      </c>
    </row>
    <row r="17">
      <c r="A17" s="13" t="s">
        <v>53</v>
      </c>
      <c r="B17" s="17">
        <v>0.0</v>
      </c>
      <c r="C17" s="17">
        <v>15.0</v>
      </c>
      <c r="D17" s="16">
        <v>5.0</v>
      </c>
      <c r="E17" s="10">
        <v>5.0</v>
      </c>
    </row>
    <row r="18">
      <c r="A18" s="12"/>
    </row>
    <row r="21">
      <c r="A21" s="5" t="s">
        <v>54</v>
      </c>
      <c r="B21" s="5" t="s">
        <v>10</v>
      </c>
      <c r="C21" s="5" t="s">
        <v>11</v>
      </c>
      <c r="D21" s="5" t="s">
        <v>12</v>
      </c>
      <c r="E21" s="5" t="s">
        <v>13</v>
      </c>
    </row>
    <row r="22">
      <c r="A22" s="13" t="s">
        <v>51</v>
      </c>
      <c r="B22" s="10">
        <v>5.0</v>
      </c>
      <c r="C22" s="10">
        <v>46.666666666666664</v>
      </c>
      <c r="D22" s="10">
        <v>38.333333333333336</v>
      </c>
      <c r="E22" s="10">
        <v>35.0</v>
      </c>
    </row>
    <row r="23">
      <c r="A23" s="13" t="s">
        <v>48</v>
      </c>
      <c r="B23" s="10">
        <v>50.0</v>
      </c>
      <c r="C23" s="10">
        <v>21.666666666666668</v>
      </c>
      <c r="D23" s="10">
        <v>23.333333333333332</v>
      </c>
      <c r="E23" s="10">
        <v>45.0</v>
      </c>
    </row>
    <row r="24">
      <c r="A24" s="13" t="s">
        <v>49</v>
      </c>
      <c r="B24" s="10">
        <v>41.666666666666664</v>
      </c>
      <c r="C24" s="10">
        <v>1.6666666666666667</v>
      </c>
      <c r="D24" s="10">
        <v>6.666666666666667</v>
      </c>
      <c r="E24" s="10">
        <v>0.0</v>
      </c>
    </row>
    <row r="25">
      <c r="A25" s="13" t="s">
        <v>50</v>
      </c>
      <c r="B25" s="10">
        <v>0.0</v>
      </c>
      <c r="C25" s="10">
        <v>0.0</v>
      </c>
      <c r="D25" s="10">
        <v>11.666666666666666</v>
      </c>
      <c r="E25" s="10">
        <v>10.0</v>
      </c>
    </row>
    <row r="26">
      <c r="A26" s="13" t="s">
        <v>52</v>
      </c>
      <c r="B26" s="10">
        <v>0.0</v>
      </c>
      <c r="C26" s="10">
        <v>25.0</v>
      </c>
      <c r="D26" s="10">
        <v>8.333333333333334</v>
      </c>
      <c r="E26" s="10">
        <v>6.666666666666667</v>
      </c>
    </row>
    <row r="27">
      <c r="A27" s="13" t="s">
        <v>53</v>
      </c>
      <c r="B27" s="10">
        <v>5.0</v>
      </c>
      <c r="C27" s="10">
        <v>5.0</v>
      </c>
      <c r="D27" s="10">
        <v>11.666666666666666</v>
      </c>
      <c r="E27" s="10">
        <v>3.3333333333333335</v>
      </c>
    </row>
    <row r="31">
      <c r="A31" s="5" t="s">
        <v>55</v>
      </c>
    </row>
    <row r="32">
      <c r="A32" s="5" t="s">
        <v>56</v>
      </c>
    </row>
    <row r="33">
      <c r="A33" s="5" t="s">
        <v>57</v>
      </c>
    </row>
    <row r="34">
      <c r="A34" s="5" t="s">
        <v>58</v>
      </c>
    </row>
    <row r="35">
      <c r="A35" s="5" t="s">
        <v>59</v>
      </c>
    </row>
    <row r="36">
      <c r="A36" s="5" t="s"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8" t="s">
        <v>5</v>
      </c>
      <c r="G1" s="1" t="s">
        <v>6</v>
      </c>
      <c r="H1" s="3" t="s">
        <v>7</v>
      </c>
      <c r="I1" s="4" t="s">
        <v>8</v>
      </c>
    </row>
    <row r="2">
      <c r="A2" s="1" t="s">
        <v>17</v>
      </c>
      <c r="B2" s="6" t="s">
        <v>20</v>
      </c>
      <c r="C2" s="7" t="s">
        <v>61</v>
      </c>
      <c r="D2" s="7">
        <v>80.646</v>
      </c>
      <c r="E2" s="7">
        <v>73.222</v>
      </c>
      <c r="F2" s="7">
        <v>6.394</v>
      </c>
      <c r="G2" s="8">
        <f t="shared" ref="G2:G7" si="1">E2-F2</f>
        <v>66.828</v>
      </c>
      <c r="H2" s="9">
        <f t="shared" ref="H2:H7" si="2">(((D2-F2)-(G2))/G2)*100</f>
        <v>11.10911594</v>
      </c>
      <c r="I2" s="7">
        <v>283.0</v>
      </c>
    </row>
    <row r="3">
      <c r="A3" s="1" t="s">
        <v>23</v>
      </c>
      <c r="B3" s="6" t="s">
        <v>18</v>
      </c>
      <c r="C3" s="7" t="s">
        <v>62</v>
      </c>
      <c r="D3" s="7">
        <v>100.428</v>
      </c>
      <c r="E3" s="7">
        <v>92.624</v>
      </c>
      <c r="F3" s="7">
        <v>6.553</v>
      </c>
      <c r="G3" s="8">
        <f t="shared" si="1"/>
        <v>86.071</v>
      </c>
      <c r="H3" s="9">
        <f t="shared" si="2"/>
        <v>9.066933113</v>
      </c>
      <c r="I3" s="7">
        <v>467.0</v>
      </c>
    </row>
    <row r="4">
      <c r="A4" s="1" t="s">
        <v>27</v>
      </c>
      <c r="B4" s="6" t="s">
        <v>30</v>
      </c>
      <c r="C4" s="7" t="s">
        <v>63</v>
      </c>
      <c r="D4" s="7">
        <v>98.183</v>
      </c>
      <c r="E4" s="7">
        <v>91.82</v>
      </c>
      <c r="F4" s="7">
        <v>6.398</v>
      </c>
      <c r="G4" s="8">
        <f t="shared" si="1"/>
        <v>85.422</v>
      </c>
      <c r="H4" s="9">
        <f t="shared" si="2"/>
        <v>7.448900752</v>
      </c>
      <c r="I4" s="7">
        <v>523.0</v>
      </c>
    </row>
    <row r="5">
      <c r="A5" s="1" t="s">
        <v>31</v>
      </c>
      <c r="B5" s="6" t="s">
        <v>35</v>
      </c>
      <c r="C5" s="7" t="s">
        <v>64</v>
      </c>
      <c r="D5" s="7">
        <v>108.712</v>
      </c>
      <c r="E5" s="7">
        <v>101.178</v>
      </c>
      <c r="F5" s="7">
        <v>6.403</v>
      </c>
      <c r="G5" s="8">
        <f t="shared" si="1"/>
        <v>94.775</v>
      </c>
      <c r="H5" s="9">
        <f t="shared" si="2"/>
        <v>7.949353733</v>
      </c>
      <c r="I5" s="7">
        <v>742.0</v>
      </c>
    </row>
    <row r="6">
      <c r="A6" s="1" t="s">
        <v>37</v>
      </c>
      <c r="B6" s="6" t="s">
        <v>18</v>
      </c>
      <c r="C6" s="7" t="s">
        <v>65</v>
      </c>
      <c r="D6" s="7">
        <v>70.065</v>
      </c>
      <c r="E6" s="7">
        <v>62.873</v>
      </c>
      <c r="F6" s="7">
        <v>6.487</v>
      </c>
      <c r="G6" s="8">
        <f t="shared" si="1"/>
        <v>56.386</v>
      </c>
      <c r="H6" s="9">
        <f t="shared" si="2"/>
        <v>12.75493917</v>
      </c>
      <c r="I6" s="7">
        <v>1707.0</v>
      </c>
    </row>
    <row r="7">
      <c r="A7" s="1" t="s">
        <v>40</v>
      </c>
      <c r="B7" s="6" t="s">
        <v>42</v>
      </c>
      <c r="C7" s="7" t="s">
        <v>66</v>
      </c>
      <c r="D7" s="7">
        <v>77.333</v>
      </c>
      <c r="E7" s="7">
        <v>68.835</v>
      </c>
      <c r="F7" s="7">
        <v>6.465</v>
      </c>
      <c r="G7" s="8">
        <f t="shared" si="1"/>
        <v>62.37</v>
      </c>
      <c r="H7" s="9">
        <f t="shared" si="2"/>
        <v>13.62514029</v>
      </c>
      <c r="I7" s="7">
        <v>2000.0</v>
      </c>
    </row>
    <row r="8">
      <c r="A8" s="12"/>
    </row>
    <row r="9">
      <c r="A9" s="12"/>
    </row>
    <row r="10">
      <c r="A10" s="12"/>
    </row>
    <row r="11">
      <c r="A11" s="13" t="s">
        <v>43</v>
      </c>
      <c r="B11" s="14" t="s">
        <v>44</v>
      </c>
      <c r="C11" s="14" t="s">
        <v>45</v>
      </c>
      <c r="D11" s="14" t="s">
        <v>46</v>
      </c>
      <c r="E11" s="15" t="s">
        <v>47</v>
      </c>
    </row>
    <row r="12">
      <c r="A12" s="13" t="s">
        <v>48</v>
      </c>
      <c r="B12" s="16">
        <v>10.0</v>
      </c>
      <c r="C12" s="16">
        <v>35.0</v>
      </c>
      <c r="D12" s="16">
        <v>20.0</v>
      </c>
      <c r="E12" s="10">
        <f t="shared" ref="E12:E17" si="3">(B12+C12+D12)/3</f>
        <v>21.66666667</v>
      </c>
    </row>
    <row r="13">
      <c r="A13" s="13" t="s">
        <v>49</v>
      </c>
      <c r="B13" s="16">
        <v>5.0</v>
      </c>
      <c r="C13" s="16">
        <v>0.0</v>
      </c>
      <c r="D13" s="16">
        <v>0.0</v>
      </c>
      <c r="E13" s="10">
        <f t="shared" si="3"/>
        <v>1.666666667</v>
      </c>
    </row>
    <row r="14">
      <c r="A14" s="13" t="s">
        <v>50</v>
      </c>
      <c r="B14" s="16">
        <v>0.0</v>
      </c>
      <c r="C14" s="16">
        <v>0.0</v>
      </c>
      <c r="D14" s="16">
        <v>0.0</v>
      </c>
      <c r="E14" s="10">
        <f t="shared" si="3"/>
        <v>0</v>
      </c>
    </row>
    <row r="15">
      <c r="A15" s="13" t="s">
        <v>51</v>
      </c>
      <c r="B15" s="16">
        <v>50.0</v>
      </c>
      <c r="C15" s="16">
        <v>40.0</v>
      </c>
      <c r="D15" s="16">
        <v>50.0</v>
      </c>
      <c r="E15" s="10">
        <f t="shared" si="3"/>
        <v>46.66666667</v>
      </c>
    </row>
    <row r="16">
      <c r="A16" s="13" t="s">
        <v>52</v>
      </c>
      <c r="B16" s="16">
        <v>30.0</v>
      </c>
      <c r="C16" s="16">
        <v>25.0</v>
      </c>
      <c r="D16" s="16">
        <v>20.0</v>
      </c>
      <c r="E16" s="10">
        <f t="shared" si="3"/>
        <v>25</v>
      </c>
    </row>
    <row r="17">
      <c r="A17" s="13" t="s">
        <v>67</v>
      </c>
      <c r="B17" s="16">
        <v>5.0</v>
      </c>
      <c r="C17" s="16">
        <v>0.0</v>
      </c>
      <c r="D17" s="16">
        <v>10.0</v>
      </c>
      <c r="E17" s="10">
        <f t="shared" si="3"/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3" t="s">
        <v>7</v>
      </c>
      <c r="I1" s="4" t="s">
        <v>8</v>
      </c>
    </row>
    <row r="2">
      <c r="A2" s="1" t="s">
        <v>17</v>
      </c>
      <c r="B2" s="6" t="s">
        <v>21</v>
      </c>
      <c r="C2" s="7" t="s">
        <v>69</v>
      </c>
      <c r="D2" s="7">
        <v>100.85</v>
      </c>
      <c r="E2" s="7">
        <v>85.511</v>
      </c>
      <c r="F2" s="7">
        <v>6.454</v>
      </c>
      <c r="G2" s="8">
        <f t="shared" ref="G2:G7" si="1">E2-F2</f>
        <v>79.057</v>
      </c>
      <c r="H2" s="9">
        <f t="shared" ref="H2:H7" si="2">(((D2-F2)-(G2))/G2)*100</f>
        <v>19.40245646</v>
      </c>
      <c r="I2" s="7">
        <v>163.5</v>
      </c>
    </row>
    <row r="3">
      <c r="A3" s="1" t="s">
        <v>23</v>
      </c>
      <c r="B3" s="6" t="s">
        <v>26</v>
      </c>
      <c r="C3" s="7" t="s">
        <v>70</v>
      </c>
      <c r="D3" s="7">
        <v>67.45</v>
      </c>
      <c r="E3" s="7">
        <v>61.575</v>
      </c>
      <c r="F3" s="7">
        <v>6.413</v>
      </c>
      <c r="G3" s="8">
        <f t="shared" si="1"/>
        <v>55.162</v>
      </c>
      <c r="H3" s="9">
        <f t="shared" si="2"/>
        <v>10.65044777</v>
      </c>
      <c r="I3" s="7">
        <v>609.0</v>
      </c>
    </row>
    <row r="4">
      <c r="A4" s="1" t="s">
        <v>27</v>
      </c>
      <c r="B4" s="6" t="s">
        <v>26</v>
      </c>
      <c r="C4" s="7" t="s">
        <v>71</v>
      </c>
      <c r="D4" s="7">
        <v>96.645</v>
      </c>
      <c r="E4" s="7">
        <v>87.709</v>
      </c>
      <c r="F4" s="7">
        <v>6.429</v>
      </c>
      <c r="G4" s="8">
        <f t="shared" si="1"/>
        <v>81.28</v>
      </c>
      <c r="H4" s="9">
        <f t="shared" si="2"/>
        <v>10.99409449</v>
      </c>
      <c r="I4" s="7">
        <v>976.0</v>
      </c>
    </row>
    <row r="5">
      <c r="A5" s="1" t="s">
        <v>31</v>
      </c>
      <c r="B5" s="6" t="s">
        <v>22</v>
      </c>
      <c r="C5" s="7" t="s">
        <v>72</v>
      </c>
      <c r="D5" s="7">
        <v>79.376</v>
      </c>
      <c r="E5" s="7">
        <v>71.287</v>
      </c>
      <c r="F5" s="7">
        <v>6.432</v>
      </c>
      <c r="G5" s="8">
        <f t="shared" si="1"/>
        <v>64.855</v>
      </c>
      <c r="H5" s="9">
        <f t="shared" si="2"/>
        <v>12.47243852</v>
      </c>
      <c r="I5" s="7">
        <v>1462.0</v>
      </c>
    </row>
    <row r="6">
      <c r="A6" s="1" t="s">
        <v>37</v>
      </c>
      <c r="B6" s="6" t="s">
        <v>32</v>
      </c>
      <c r="C6" s="7" t="s">
        <v>73</v>
      </c>
      <c r="D6" s="7">
        <v>60.003</v>
      </c>
      <c r="E6" s="7">
        <v>50.929</v>
      </c>
      <c r="F6" s="7">
        <v>6.426</v>
      </c>
      <c r="G6" s="8">
        <f t="shared" si="1"/>
        <v>44.503</v>
      </c>
      <c r="H6" s="9">
        <f t="shared" si="2"/>
        <v>20.38963665</v>
      </c>
      <c r="I6" s="7">
        <v>2290.0</v>
      </c>
    </row>
    <row r="7">
      <c r="A7" s="1" t="s">
        <v>40</v>
      </c>
      <c r="B7" s="6" t="s">
        <v>22</v>
      </c>
      <c r="C7" s="7" t="s">
        <v>74</v>
      </c>
      <c r="D7" s="7">
        <v>64.483</v>
      </c>
      <c r="E7" s="7">
        <v>55.447</v>
      </c>
      <c r="F7" s="7">
        <v>6.492</v>
      </c>
      <c r="G7" s="8">
        <f t="shared" si="1"/>
        <v>48.955</v>
      </c>
      <c r="H7" s="9">
        <f t="shared" si="2"/>
        <v>18.45776734</v>
      </c>
      <c r="I7" s="7">
        <v>2560.0</v>
      </c>
    </row>
    <row r="8">
      <c r="A8" s="12"/>
    </row>
    <row r="9">
      <c r="A9" s="12"/>
    </row>
    <row r="10">
      <c r="A10" s="12"/>
    </row>
    <row r="11">
      <c r="A11" s="13" t="s">
        <v>43</v>
      </c>
      <c r="B11" s="14" t="s">
        <v>44</v>
      </c>
      <c r="C11" s="14" t="s">
        <v>45</v>
      </c>
      <c r="D11" s="14" t="s">
        <v>46</v>
      </c>
      <c r="E11" s="15" t="s">
        <v>47</v>
      </c>
    </row>
    <row r="12">
      <c r="A12" s="13" t="s">
        <v>48</v>
      </c>
      <c r="B12" s="16">
        <v>25.0</v>
      </c>
      <c r="C12" s="16">
        <v>30.0</v>
      </c>
      <c r="D12" s="16">
        <v>15.0</v>
      </c>
      <c r="E12" s="10">
        <f t="shared" ref="E12:E17" si="3">(B12+C12+D12)/3</f>
        <v>23.33333333</v>
      </c>
    </row>
    <row r="13">
      <c r="A13" s="13" t="s">
        <v>49</v>
      </c>
      <c r="B13" s="16">
        <v>5.0</v>
      </c>
      <c r="C13" s="16">
        <v>10.0</v>
      </c>
      <c r="D13" s="16">
        <v>5.0</v>
      </c>
      <c r="E13" s="10">
        <f t="shared" si="3"/>
        <v>6.666666667</v>
      </c>
    </row>
    <row r="14">
      <c r="A14" s="13" t="s">
        <v>50</v>
      </c>
      <c r="B14" s="16">
        <v>10.0</v>
      </c>
      <c r="C14" s="16">
        <v>10.0</v>
      </c>
      <c r="D14" s="16">
        <v>15.0</v>
      </c>
      <c r="E14" s="10">
        <f t="shared" si="3"/>
        <v>11.66666667</v>
      </c>
    </row>
    <row r="15">
      <c r="A15" s="13" t="s">
        <v>51</v>
      </c>
      <c r="B15" s="16">
        <v>45.0</v>
      </c>
      <c r="C15" s="16">
        <v>30.0</v>
      </c>
      <c r="D15" s="16">
        <v>40.0</v>
      </c>
      <c r="E15" s="10">
        <f t="shared" si="3"/>
        <v>38.33333333</v>
      </c>
    </row>
    <row r="16">
      <c r="A16" s="13" t="s">
        <v>52</v>
      </c>
      <c r="B16" s="16">
        <v>5.0</v>
      </c>
      <c r="C16" s="16">
        <v>10.0</v>
      </c>
      <c r="D16" s="16">
        <v>10.0</v>
      </c>
      <c r="E16" s="10">
        <f t="shared" si="3"/>
        <v>8.333333333</v>
      </c>
    </row>
    <row r="17">
      <c r="A17" s="13" t="s">
        <v>67</v>
      </c>
      <c r="B17" s="16">
        <v>10.0</v>
      </c>
      <c r="C17" s="16">
        <v>10.0</v>
      </c>
      <c r="D17" s="16">
        <v>15.0</v>
      </c>
      <c r="E17" s="10">
        <f t="shared" si="3"/>
        <v>11.66666667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0</v>
      </c>
      <c r="B1" s="20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3" t="s">
        <v>7</v>
      </c>
      <c r="I1" s="4" t="s">
        <v>8</v>
      </c>
    </row>
    <row r="2">
      <c r="A2" s="21" t="s">
        <v>17</v>
      </c>
      <c r="B2" s="6" t="s">
        <v>22</v>
      </c>
      <c r="C2" s="7" t="s">
        <v>75</v>
      </c>
      <c r="D2" s="7">
        <v>76.989</v>
      </c>
      <c r="E2" s="7">
        <v>68.772</v>
      </c>
      <c r="F2" s="7">
        <v>6.408</v>
      </c>
      <c r="G2" s="8">
        <f t="shared" ref="G2:G7" si="1">E2-F2</f>
        <v>62.364</v>
      </c>
      <c r="H2" s="9">
        <f t="shared" ref="H2:H7" si="2">(((D2-F2)-(G2))/G2)*100</f>
        <v>13.17587069</v>
      </c>
      <c r="I2" s="7">
        <v>196.7</v>
      </c>
    </row>
    <row r="3">
      <c r="A3" s="21" t="s">
        <v>23</v>
      </c>
      <c r="B3" s="6" t="s">
        <v>18</v>
      </c>
      <c r="C3" s="7" t="s">
        <v>76</v>
      </c>
      <c r="D3" s="7">
        <v>74.257</v>
      </c>
      <c r="E3" s="7">
        <v>66.854</v>
      </c>
      <c r="F3" s="7">
        <v>6.482</v>
      </c>
      <c r="G3" s="8">
        <f t="shared" si="1"/>
        <v>60.372</v>
      </c>
      <c r="H3" s="9">
        <f t="shared" si="2"/>
        <v>12.26230703</v>
      </c>
      <c r="I3" s="11">
        <v>158.3</v>
      </c>
    </row>
    <row r="4">
      <c r="A4" s="21" t="s">
        <v>27</v>
      </c>
      <c r="B4" s="6" t="s">
        <v>30</v>
      </c>
      <c r="C4" s="7" t="s">
        <v>77</v>
      </c>
      <c r="D4" s="7">
        <v>90.006</v>
      </c>
      <c r="E4" s="7">
        <v>84.055</v>
      </c>
      <c r="F4" s="7">
        <v>6.518</v>
      </c>
      <c r="G4" s="8">
        <f t="shared" si="1"/>
        <v>77.537</v>
      </c>
      <c r="H4" s="9">
        <f t="shared" si="2"/>
        <v>7.675045462</v>
      </c>
      <c r="I4" s="7">
        <v>180.9</v>
      </c>
    </row>
    <row r="5">
      <c r="A5" s="21" t="s">
        <v>31</v>
      </c>
      <c r="B5" s="6" t="s">
        <v>36</v>
      </c>
      <c r="C5" s="7" t="s">
        <v>78</v>
      </c>
      <c r="D5" s="7">
        <v>96.057</v>
      </c>
      <c r="E5" s="7">
        <v>88.75</v>
      </c>
      <c r="F5" s="7">
        <v>6.49</v>
      </c>
      <c r="G5" s="8">
        <f t="shared" si="1"/>
        <v>82.26</v>
      </c>
      <c r="H5" s="9">
        <f t="shared" si="2"/>
        <v>8.882810601</v>
      </c>
      <c r="I5" s="7">
        <v>272.0</v>
      </c>
    </row>
    <row r="6">
      <c r="A6" s="21" t="s">
        <v>37</v>
      </c>
      <c r="B6" s="6" t="s">
        <v>39</v>
      </c>
      <c r="C6" s="7" t="s">
        <v>79</v>
      </c>
      <c r="D6" s="7">
        <v>78.337</v>
      </c>
      <c r="E6" s="7">
        <v>72.467</v>
      </c>
      <c r="F6" s="7">
        <v>6.478</v>
      </c>
      <c r="G6" s="8">
        <f t="shared" si="1"/>
        <v>65.989</v>
      </c>
      <c r="H6" s="9">
        <f t="shared" si="2"/>
        <v>8.895421964</v>
      </c>
      <c r="I6" s="7">
        <v>459.0</v>
      </c>
    </row>
    <row r="7">
      <c r="A7" s="21" t="s">
        <v>40</v>
      </c>
      <c r="B7" s="6" t="s">
        <v>32</v>
      </c>
      <c r="C7" s="7" t="s">
        <v>80</v>
      </c>
      <c r="D7" s="7">
        <v>83.659</v>
      </c>
      <c r="E7" s="7">
        <v>72.628</v>
      </c>
      <c r="F7" s="7">
        <v>6.515</v>
      </c>
      <c r="G7" s="8">
        <f t="shared" si="1"/>
        <v>66.113</v>
      </c>
      <c r="H7" s="9">
        <f t="shared" si="2"/>
        <v>16.6850695</v>
      </c>
      <c r="I7" s="7">
        <v>1121.0</v>
      </c>
    </row>
    <row r="11">
      <c r="A11" s="22" t="s">
        <v>43</v>
      </c>
      <c r="B11" s="14" t="s">
        <v>44</v>
      </c>
      <c r="C11" s="14" t="s">
        <v>45</v>
      </c>
      <c r="D11" s="14" t="s">
        <v>46</v>
      </c>
      <c r="E11" s="15" t="s">
        <v>47</v>
      </c>
    </row>
    <row r="12">
      <c r="A12" s="22" t="s">
        <v>48</v>
      </c>
      <c r="B12" s="16">
        <v>45.0</v>
      </c>
      <c r="C12" s="16">
        <v>40.0</v>
      </c>
      <c r="D12" s="16">
        <v>50.0</v>
      </c>
      <c r="E12" s="10">
        <f t="shared" ref="E12:E17" si="3">(B12+C12+D12)/3</f>
        <v>45</v>
      </c>
    </row>
    <row r="13">
      <c r="A13" s="22" t="s">
        <v>49</v>
      </c>
      <c r="B13" s="16">
        <v>0.0</v>
      </c>
      <c r="C13" s="16">
        <v>0.0</v>
      </c>
      <c r="D13" s="16">
        <v>0.0</v>
      </c>
      <c r="E13" s="10">
        <f t="shared" si="3"/>
        <v>0</v>
      </c>
    </row>
    <row r="14">
      <c r="A14" s="22" t="s">
        <v>50</v>
      </c>
      <c r="B14" s="16">
        <v>10.0</v>
      </c>
      <c r="C14" s="16">
        <v>5.0</v>
      </c>
      <c r="D14" s="16">
        <v>15.0</v>
      </c>
      <c r="E14" s="10">
        <f t="shared" si="3"/>
        <v>10</v>
      </c>
    </row>
    <row r="15">
      <c r="A15" s="22" t="s">
        <v>51</v>
      </c>
      <c r="B15" s="16">
        <v>35.0</v>
      </c>
      <c r="C15" s="16">
        <v>40.0</v>
      </c>
      <c r="D15" s="16">
        <v>30.0</v>
      </c>
      <c r="E15" s="10">
        <f t="shared" si="3"/>
        <v>35</v>
      </c>
    </row>
    <row r="16">
      <c r="A16" s="22" t="s">
        <v>52</v>
      </c>
      <c r="B16" s="16">
        <v>5.0</v>
      </c>
      <c r="C16" s="16">
        <v>10.0</v>
      </c>
      <c r="D16" s="16">
        <v>5.0</v>
      </c>
      <c r="E16" s="10">
        <f t="shared" si="3"/>
        <v>6.666666667</v>
      </c>
    </row>
    <row r="17">
      <c r="A17" s="22" t="s">
        <v>67</v>
      </c>
      <c r="B17" s="16">
        <v>5.0</v>
      </c>
      <c r="C17" s="16">
        <v>5.0</v>
      </c>
      <c r="D17" s="16">
        <v>0.0</v>
      </c>
      <c r="E17" s="10">
        <f t="shared" si="3"/>
        <v>3.333333333</v>
      </c>
    </row>
  </sheetData>
  <drawing r:id="rId1"/>
</worksheet>
</file>